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a6c68d48e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cb5e8292f5b4c7f"/>
    <x:sheet xmlns:r="http://schemas.openxmlformats.org/officeDocument/2006/relationships" name="A_Transaction Validation" sheetId="2" r:id="R46a578c0c51b4418"/>
    <x:sheet xmlns:r="http://schemas.openxmlformats.org/officeDocument/2006/relationships" name="B_Cadastral Governance" sheetId="3" r:id="R78c1cc490a3f4635"/>
    <x:sheet xmlns:r="http://schemas.openxmlformats.org/officeDocument/2006/relationships" name="Lists" sheetId="4" r:id="Racf45176857b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B6D7A8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B6D7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c0dfa04f84da0" /><Relationship Type="http://schemas.openxmlformats.org/officeDocument/2006/relationships/theme" Target="/xl/theme/theme1.xml" Id="R12e2965cee6b491f" /><Relationship Type="http://schemas.openxmlformats.org/officeDocument/2006/relationships/sharedStrings" Target="/xl/sharedStrings.xml" Id="R646387cb0d274803" /><Relationship Type="http://schemas.openxmlformats.org/officeDocument/2006/relationships/worksheet" Target="/xl/worksheets/sheet1.xml" Id="Rccb5e8292f5b4c7f" /><Relationship Type="http://schemas.openxmlformats.org/officeDocument/2006/relationships/worksheet" Target="/xl/worksheets/sheet2.xml" Id="R46a578c0c51b4418" /><Relationship Type="http://schemas.openxmlformats.org/officeDocument/2006/relationships/worksheet" Target="/xl/worksheets/sheet3.xml" Id="R78c1cc490a3f4635" /><Relationship Type="http://schemas.openxmlformats.org/officeDocument/2006/relationships/worksheet" Target="/xl/worksheets/sheet4.xml" Id="Racf45176857b46f0" /></Relationships>
</file>

<file path=xl/tables/table1.xml><?xml version="1.0" encoding="utf-8"?>
<x:table xmlns:x="http://schemas.openxmlformats.org/spreadsheetml/2006/main" id="1" name="TransactionDecisionTable" displayName="TransactionDecisionTable" ref="A1:K18" headerRowCount="1" totalsRowCount="0" totalsRowShown="0">
  <x:tableColumns count="11">
    <x:tableColumn id="1" name="ID"/>
    <x:tableColumn id="2" name="Decision / Question"/>
    <x:tableColumn id="3" name="Decision Type"/>
    <x:tableColumn id="4" name="Priority"/>
    <x:tableColumn id="5" name="Current Position / Assumption"/>
    <x:tableColumn id="6" name="Decision Required"/>
    <x:tableColumn id="7" name="Recommended Direction"/>
    <x:tableColumn id="8" name="Decision Owner"/>
    <x:tableColumn id="9" name="Impact if Undefined"/>
    <x:tableColumn id="10" name="Status"/>
    <x:tableColumn id="11" name="Notes / Final 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vernanceDecisionTable" displayName="GovernanceDecisionTable" ref="A1:K28" headerRowCount="1" totalsRowCount="0" totalsRowShown="0">
  <x:tableColumns count="11">
    <x:tableColumn id="1" name="ID"/>
    <x:tableColumn id="2" name="Decision / Question"/>
    <x:tableColumn id="3" name="Decision Type"/>
    <x:tableColumn id="4" name="Priority"/>
    <x:tableColumn id="5" name="Current Position / Assumption"/>
    <x:tableColumn id="6" name="Decision Required"/>
    <x:tableColumn id="7" name="Recommended Direction"/>
    <x:tableColumn id="8" name="Decision Owner"/>
    <x:tableColumn id="9" name="Impact if Undefined"/>
    <x:tableColumn id="10" name="Status"/>
    <x:tableColumn id="11" name="Notes / Final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1b9417544049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d4090d2ad24cf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9" t="str">
        <x:v>Jamaica eTitles – SMD Spatial Decision Register</x:v>
      </x:c>
      <x:c r="B1" s="19"/>
      <x:c r="C1" s="19"/>
      <x:c r="D1" s="19"/>
      <x:c r="E1" s="19"/>
      <x:c r="F1" s="19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3" t="str">
        <x:v>Purpose: separate transaction validation decisions from authoritative cadastral / Parcel Fabric governance decisions.</x:v>
      </x:c>
      <x:c r="B4" s="43"/>
      <x:c r="C4" s="43"/>
      <x:c r="D4" s="43"/>
      <x:c r="E4" s="43"/>
      <x:c r="F4" s="43"/>
      <x:c r="G4" s="43"/>
      <x:c r="H4" s="43"/>
    </x:row>
    <x:row r="5">
      <x:c r="A5" s="42"/>
      <x:c r="B5" s="42"/>
      <x:c r="C5" s="42"/>
      <x:c r="D5" s="42"/>
      <x:c r="E5" s="42"/>
      <x:c r="F5" s="42"/>
      <x:c r="G5" s="42"/>
      <x:c r="H5" s="42"/>
    </x:row>
    <x:row r="6">
      <x:c r="A6" s="44" t="str">
        <x:v>Area</x:v>
      </x:c>
      <x:c r="B6" s="44" t="str">
        <x:v>Total Decisions</x:v>
      </x:c>
      <x:c r="C6" s="44" t="str">
        <x:v>Open / Partial</x:v>
      </x:c>
      <x:c r="D6" s="44" t="str">
        <x:v>Critical Open / Partial</x:v>
      </x:c>
      <x:c r="E6" s="42"/>
      <x:c r="F6" s="42"/>
      <x:c r="G6" s="42"/>
      <x:c r="H6" s="42"/>
    </x:row>
    <x:row r="7">
      <x:c r="A7" s="42" t="str">
        <x:v>A. Transaction Validation</x:v>
      </x:c>
      <x:c r="B7" s="42" t="n">
        <x:f>COUNTA('A_Transaction Validation'!A2:A18)</x:f>
        <x:v>17</x:v>
      </x:c>
      <x:c r="C7" s="42" t="n">
        <x:f>COUNTIF('A_Transaction Validation'!J2:J18,"Open")+COUNTIF('A_Transaction Validation'!J2:J18,"Partially Defined")</x:f>
        <x:v>17</x:v>
      </x:c>
      <x:c r="D7" s="42" t="n">
        <x:f>COUNTIFS('A_Transaction Validation'!D2:D18,"Critical",'A_Transaction Validation'!J2:J18,"&lt;&gt;Defined",'A_Transaction Validation'!J2:J18,"&lt;&gt;Closed")</x:f>
        <x:v>5</x:v>
      </x:c>
      <x:c r="E7" s="42"/>
      <x:c r="F7" s="42"/>
      <x:c r="G7" s="42"/>
      <x:c r="H7" s="42"/>
    </x:row>
    <x:row r="8">
      <x:c r="A8" s="42" t="str">
        <x:v>B. Cadastral Governance</x:v>
      </x:c>
      <x:c r="B8" s="42" t="n">
        <x:f>COUNTA('B_Cadastral Governance'!A2:A28)</x:f>
        <x:v>27</x:v>
      </x:c>
      <x:c r="C8" s="42" t="n">
        <x:f>COUNTIF('B_Cadastral Governance'!J2:J28,"Open")+COUNTIF('B_Cadastral Governance'!J2:J28,"Partially Defined")</x:f>
        <x:v>27</x:v>
      </x:c>
      <x:c r="D8" s="42" t="n">
        <x:f>COUNTIFS('B_Cadastral Governance'!D2:D28,"Critical",'B_Cadastral Governance'!J2:J28,"&lt;&gt;Defined",'B_Cadastral Governance'!J2:J28,"&lt;&gt;Closed")</x:f>
        <x:v>18</x:v>
      </x:c>
      <x:c r="E8" s="42"/>
      <x:c r="F8" s="42"/>
      <x:c r="G8" s="42"/>
      <x:c r="H8" s="42"/>
    </x:row>
    <x:row r="9">
      <x:c r="A9" s="42"/>
      <x:c r="B9" s="42"/>
      <x:c r="C9" s="42"/>
      <x:c r="D9" s="42"/>
      <x:c r="E9" s="42"/>
      <x:c r="F9" s="42"/>
      <x:c r="G9" s="42"/>
      <x:c r="H9" s="42"/>
    </x:row>
    <x:row r="10">
      <x:c r="A10" s="42"/>
      <x:c r="B10" s="42"/>
      <x:c r="C10" s="42"/>
      <x:c r="D10" s="42"/>
      <x:c r="E10" s="42"/>
      <x:c r="F10" s="42"/>
      <x:c r="G10" s="42"/>
      <x:c r="H10" s="42"/>
    </x:row>
    <x:row r="11">
      <x:c r="A11" s="44" t="str">
        <x:v>Three decision gates to formalize</x:v>
      </x:c>
      <x:c r="B11" s="44"/>
      <x:c r="C11" s="44"/>
      <x:c r="D11" s="44"/>
      <x:c r="E11" s="44"/>
      <x:c r="F11" s="44"/>
      <x:c r="G11" s="44"/>
      <x:c r="H11" s="44"/>
    </x:row>
    <x:row r="12">
      <x:c r="A12" s="43" t="str">
        <x:v>Gate</x:v>
      </x:c>
      <x:c r="B12" s="43" t="str">
        <x:v>Question</x:v>
      </x:c>
      <x:c r="C12" s="43" t="str">
        <x:v>Primary Area</x:v>
      </x:c>
      <x:c r="D12" s="43" t="str">
        <x:v>Expected Output</x:v>
      </x:c>
      <x:c r="E12" s="42" t="str"/>
      <x:c r="F12" s="42" t="str"/>
      <x:c r="G12" s="42" t="str"/>
      <x:c r="H12" s="42" t="str"/>
    </x:row>
    <x:row r="13">
      <x:c r="A13" s="45" t="str">
        <x:v>1. Technical Validity</x:v>
      </x:c>
      <x:c r="B13" s="45" t="str">
        <x:v>Is the submitted survey internally and mathematically correct?</x:v>
      </x:c>
      <x:c r="C13" s="45" t="str">
        <x:v>Compute</x:v>
      </x:c>
      <x:c r="D13" s="45" t="str">
        <x:v>Pass / Warning / Fail</x:v>
      </x:c>
      <x:c r="E13" s="42" t="str"/>
      <x:c r="F13" s="42" t="str"/>
      <x:c r="G13" s="42" t="str"/>
      <x:c r="H13" s="42" t="str"/>
    </x:row>
    <x:row r="14">
      <x:c r="A14" s="45" t="str">
        <x:v>2. Cadastral Compatibility</x:v>
      </x:c>
      <x:c r="B14" s="45" t="str">
        <x:v>Does the validated survey agree with existing cadastral and registry evidence?</x:v>
      </x:c>
      <x:c r="C14" s="45" t="str">
        <x:v>Compare</x:v>
      </x:c>
      <x:c r="D14" s="45" t="str">
        <x:v>Compatible / Conflict / Review</x:v>
      </x:c>
      <x:c r="E14" s="42" t="str"/>
      <x:c r="F14" s="42" t="str"/>
      <x:c r="G14" s="42" t="str"/>
      <x:c r="H14" s="42" t="str"/>
    </x:row>
    <x:row r="15">
      <x:c r="A15" s="45" t="str">
        <x:v>3. Authoritative Change</x:v>
      </x:c>
      <x:c r="B15" s="45" t="str">
        <x:v>If there is a conflict, what is correct and what are we authorized to change?</x:v>
      </x:c>
      <x:c r="C15" s="45" t="str">
        <x:v>Cadastral Change Assessment</x:v>
      </x:c>
      <x:c r="D15" s="45" t="str">
        <x:v>Approved action before Parcel Fabric / Enterprise post</x:v>
      </x:c>
      <x:c r="E15" s="42" t="str"/>
      <x:c r="F15" s="42" t="str"/>
      <x:c r="G15" s="42" t="str"/>
      <x:c r="H15" s="42" t="str"/>
    </x:row>
    <x:row r="16">
      <x:c r="A16" s="42"/>
      <x:c r="B16" s="42"/>
      <x:c r="C16" s="42"/>
      <x:c r="D16" s="42"/>
      <x:c r="E16" s="42"/>
      <x:c r="F16" s="42"/>
      <x:c r="G16" s="42"/>
      <x:c r="H16" s="42"/>
    </x:row>
    <x:row r="17">
      <x:c r="A17" s="44" t="str">
        <x:v>Recommended control flow</x:v>
      </x:c>
      <x:c r="B17" s="44" t="str"/>
      <x:c r="C17" s="44" t="str"/>
      <x:c r="D17" s="44" t="str"/>
      <x:c r="E17" s="44" t="str"/>
      <x:c r="F17" s="44" t="str"/>
      <x:c r="G17" s="44" t="str"/>
      <x:c r="H17" s="44" t="str"/>
    </x:row>
    <x:row r="18">
      <x:c r="A18" s="46" t="str">
        <x:v>Compute → Compare → Cadastral Change Assessment → Authorization → Parcel Fabric Update → Independent QA → Reconcile/Post</x:v>
      </x:c>
      <x:c r="B18" s="46" t="str"/>
      <x:c r="C18" s="46" t="str"/>
      <x:c r="D18" s="46" t="str"/>
      <x:c r="E18" s="46" t="str"/>
      <x:c r="F18" s="46" t="str"/>
      <x:c r="G18" s="46" t="str"/>
      <x:c r="H18" s="46" t="str"/>
    </x:row>
    <x:row r="19">
      <x:c r="A19" s="42" t="str"/>
      <x:c r="B19" s="42" t="str"/>
      <x:c r="C19" s="42" t="str"/>
      <x:c r="D19" s="42" t="str"/>
      <x:c r="E19" s="42" t="str"/>
      <x:c r="F19" s="42" t="str"/>
      <x:c r="G19" s="42" t="str"/>
      <x:c r="H19" s="42" t="str"/>
    </x:row>
    <x:row r="20">
      <x:c r="A20" s="47" t="str">
        <x:v>Core principle</x:v>
      </x:c>
      <x:c r="B20" s="47" t="str"/>
      <x:c r="C20" s="47" t="str"/>
      <x:c r="D20" s="47" t="str"/>
      <x:c r="E20" s="47" t="str"/>
      <x:c r="F20" s="47" t="str"/>
      <x:c r="G20" s="47" t="str"/>
      <x:c r="H20" s="47" t="str"/>
    </x:row>
    <x:row r="21">
      <x:c r="A21" s="45" t="str">
        <x:v>The software may detect and assist; authoritative cadastral/legal precedence requires an accountable human decision, evidence, approval, and audit trail.</x:v>
      </x:c>
      <x:c r="B21" s="45" t="str"/>
      <x:c r="C21" s="45" t="str"/>
      <x:c r="D21" s="45" t="str"/>
      <x:c r="E21" s="45" t="str"/>
      <x:c r="F21" s="45" t="str"/>
      <x:c r="G21" s="45" t="str"/>
      <x:c r="H21" s="45" t="str"/>
    </x:row>
    <x:row r="22">
      <x:c r="A22" s="42"/>
      <x:c r="B22" s="42"/>
      <x:c r="C22" s="42"/>
      <x:c r="D22" s="42"/>
      <x:c r="E22" s="42"/>
      <x:c r="F22" s="42"/>
      <x:c r="G22" s="42"/>
      <x:c r="H22" s="42"/>
    </x:row>
    <x:row r="23">
      <x:c r="A23" s="42"/>
      <x:c r="B23" s="42"/>
      <x:c r="C23" s="42"/>
      <x:c r="D23" s="42"/>
      <x:c r="E23" s="42"/>
      <x:c r="F23" s="42"/>
      <x:c r="G23" s="42"/>
      <x:c r="H23" s="42"/>
    </x:row>
    <x:row r="24">
      <x:c r="A24" s="42"/>
      <x:c r="B24" s="42"/>
      <x:c r="C24" s="42"/>
      <x:c r="D24" s="42"/>
      <x:c r="E24" s="42"/>
      <x:c r="F24" s="42"/>
      <x:c r="G24" s="42"/>
      <x:c r="H24" s="42"/>
    </x:row>
    <x:row r="25">
      <x:c r="A25" s="42"/>
      <x:c r="B25" s="42"/>
      <x:c r="C25" s="42"/>
      <x:c r="D25" s="42"/>
      <x:c r="E25" s="42"/>
      <x:c r="F25" s="42"/>
      <x:c r="G25" s="42"/>
      <x:c r="H25" s="42"/>
    </x:row>
  </x:sheetData>
  <x:mergeCells>
    <x:mergeCell ref="A1:H2"/>
    <x:mergeCell ref="A4:H4"/>
    <x:mergeCell ref="A11:H11"/>
    <x:mergeCell ref="A17:H17"/>
    <x:mergeCell ref="A18:H18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6" hidden="0" customWidth="1"/>
    <x:col min="4" max="4" width="11" hidden="0" customWidth="1"/>
    <x:col min="5" max="5" width="34" hidden="0" customWidth="1"/>
    <x:col min="6" max="6" width="34" hidden="0" customWidth="1"/>
    <x:col min="7" max="7" width="38" hidden="0" customWidth="1"/>
    <x:col min="8" max="8" width="18" hidden="0" customWidth="1"/>
    <x:col min="9" max="9" width="34" hidden="0" customWidth="1"/>
    <x:col min="10" max="10" width="17" hidden="0" customWidth="1"/>
    <x:col min="11" max="11" width="30" hidden="0" customWidth="1"/>
  </x:cols>
  <x:sheetData>
    <x:row r="1">
      <x:c r="A1" s="14" t="str">
        <x:v>ID</x:v>
      </x:c>
      <x:c r="B1" s="14" t="str">
        <x:v>Decision / Question</x:v>
      </x:c>
      <x:c r="C1" s="14" t="str">
        <x:v>Decision Type</x:v>
      </x:c>
      <x:c r="D1" s="14" t="str">
        <x:v>Priority</x:v>
      </x:c>
      <x:c r="E1" s="14" t="str">
        <x:v>Current Position / Assumption</x:v>
      </x:c>
      <x:c r="F1" s="14" t="str">
        <x:v>Decision Required</x:v>
      </x:c>
      <x:c r="G1" s="14" t="str">
        <x:v>Recommended Direction</x:v>
      </x:c>
      <x:c r="H1" s="14" t="str">
        <x:v>Decision Owner</x:v>
      </x:c>
      <x:c r="I1" s="14" t="str">
        <x:v>Impact if Undefined</x:v>
      </x:c>
      <x:c r="J1" s="14" t="str">
        <x:v>Status</x:v>
      </x:c>
      <x:c r="K1" s="14" t="str">
        <x:v>Notes / Final Decision</x:v>
      </x:c>
    </x:row>
    <x:row r="2">
      <x:c r="A2" s="12" t="str">
        <x:v>A-01</x:v>
      </x:c>
      <x:c r="B2" s="12" t="str">
        <x:v>What exact transaction payload is received from Innola into ArcGIS Pro?</x:v>
      </x:c>
      <x:c r="C2" s="12" t="str">
        <x:v>Technical</x:v>
      </x:c>
      <x:c r="D2" s="12" t="str">
        <x:v>High</x:v>
      </x:c>
      <x:c r="E2" s="12" t="str">
        <x:v>Transaction ID, transaction type, document references and execution context are expected.</x:v>
      </x:c>
      <x:c r="F2" s="12" t="str">
        <x:v>Confirm the minimum mandatory payload, affected parcel references, rules/configuration profile, and submission type.</x:v>
      </x:c>
      <x:c r="G2" s="12" t="str">
        <x:v>Define a versioned input contract between Innola and the ArcGIS Pro Add-In.</x:v>
      </x:c>
      <x:c r="H2" s="12" t="str">
        <x:v>Joint Project Team</x:v>
      </x:c>
      <x:c r="I2" s="12" t="str">
        <x:v>Inconsistent execution context; tasks may not know what data or rules apply.</x:v>
      </x:c>
      <x:c r="J2" s="12" t="str">
        <x:v>Partially Defined</x:v>
      </x:c>
      <x:c r="K2" s="12" t="str"/>
    </x:row>
    <x:row r="3">
      <x:c r="A3" s="12" t="str">
        <x:v>A-02</x:v>
      </x:c>
      <x:c r="B3" s="12" t="str">
        <x:v>What constitutes a complete submission before GIS processing starts?</x:v>
      </x:c>
      <x:c r="C3" s="12" t="str">
        <x:v>Business Rule</x:v>
      </x:c>
      <x:c r="D3" s="12" t="str">
        <x:v>High</x:v>
      </x:c>
      <x:c r="E3" s="12" t="str">
        <x:v>PDF/plan, CAD where applicable, computer sheet/coordinates and supporting documents are expected by transaction type.</x:v>
      </x:c>
      <x:c r="F3" s="12" t="str">
        <x:v>Approve the required-document matrix by SMD transaction and submission mode.</x:v>
      </x:c>
      <x:c r="G3" s="12" t="str">
        <x:v>Enforce completeness before Compute; missing mandatory items return for correction.</x:v>
      </x:c>
      <x:c r="H3" s="12" t="str">
        <x:v>NLA / SMD</x:v>
      </x:c>
      <x:c r="I3" s="12" t="str">
        <x:v>Invalid or incomplete submissions enter Compute and generate avoidable examiner work.</x:v>
      </x:c>
      <x:c r="J3" s="12" t="str">
        <x:v>Partially Defined</x:v>
      </x:c>
      <x:c r="K3" s="12" t="str"/>
    </x:row>
    <x:row r="4">
      <x:c r="A4" s="12" t="str">
        <x:v>A-03</x:v>
      </x:c>
      <x:c r="B4" s="12" t="str">
        <x:v>Which authoritative/reference layers must be loaded for each transaction?</x:v>
      </x:c>
      <x:c r="C4" s="12" t="str">
        <x:v>Data Policy</x:v>
      </x:c>
      <x:c r="D4" s="12" t="str">
        <x:v>High</x:v>
      </x:c>
      <x:c r="E4" s="12" t="str">
        <x:v>CadMap, CadIndex, Parcel Fabric, control data and selected LTD/LVD references are anticipated.</x:v>
      </x:c>
      <x:c r="F4" s="12" t="str">
        <x:v>Confirm the authoritative/reference dataset list per transaction and which are read-only versus editable.</x:v>
      </x:c>
      <x:c r="G4" s="12" t="str">
        <x:v>Publish a transaction-to-dataset matrix and layer role definition.</x:v>
      </x:c>
      <x:c r="H4" s="12" t="str">
        <x:v>NLA / SMD</x:v>
      </x:c>
      <x:c r="I4" s="12" t="str">
        <x:v>Different examiners may compare against different sources and reach inconsistent conclusions.</x:v>
      </x:c>
      <x:c r="J4" s="12" t="str">
        <x:v>Open</x:v>
      </x:c>
      <x:c r="K4" s="12" t="str"/>
    </x:row>
    <x:row r="5">
      <x:c r="A5" s="12" t="str">
        <x:v>A-04</x:v>
      </x:c>
      <x:c r="B5" s="12" t="str">
        <x:v>Which structure checks are mandatory?</x:v>
      </x:c>
      <x:c r="C5" s="12" t="str">
        <x:v>Business Rule</x:v>
      </x:c>
      <x:c r="D5" s="12" t="str">
        <x:v>High</x:v>
      </x:c>
      <x:c r="E5" s="12" t="str">
        <x:v>Required plan elements, expected CAD layers, coordinates, CRS and metadata checks are identified conceptually.</x:v>
      </x:c>
      <x:c r="F5" s="12" t="str">
        <x:v>Approve the final structure-validation checklist and severity of each rule.</x:v>
      </x:c>
      <x:c r="G5" s="12" t="str">
        <x:v>Group checks into mandatory, warning and informational categories.</x:v>
      </x:c>
      <x:c r="H5" s="12" t="str">
        <x:v>NLA / SMD</x:v>
      </x:c>
      <x:c r="I5" s="12" t="str">
        <x:v>No consistent gate before geometry analysis.</x:v>
      </x:c>
      <x:c r="J5" s="12" t="str">
        <x:v>Partially Defined</x:v>
      </x:c>
      <x:c r="K5" s="12" t="str"/>
    </x:row>
    <x:row r="6">
      <x:c r="A6" s="12" t="str">
        <x:v>A-05</x:v>
      </x:c>
      <x:c r="B6" s="12" t="str">
        <x:v>Which geometry checks are mandatory?</x:v>
      </x:c>
      <x:c r="C6" s="12" t="str">
        <x:v>Business Rule</x:v>
      </x:c>
      <x:c r="D6" s="12" t="str">
        <x:v>High</x:v>
      </x:c>
      <x:c r="E6" s="12" t="str">
        <x:v>Traverse/closure, bearings, distances, line direction, tie lines and control references are in scope.</x:v>
      </x:c>
      <x:c r="F6" s="12" t="str">
        <x:v>Approve tolerances, thresholds and pass/fail criteria.</x:v>
      </x:c>
      <x:c r="G6" s="12" t="str">
        <x:v>Parameterize tolerances as business rules rather than hard-code them.</x:v>
      </x:c>
      <x:c r="H6" s="12" t="str">
        <x:v>NLA / SMD</x:v>
      </x:c>
      <x:c r="I6" s="12" t="str">
        <x:v>Different users may apply different technical tolerances.</x:v>
      </x:c>
      <x:c r="J6" s="12" t="str">
        <x:v>Partially Defined</x:v>
      </x:c>
      <x:c r="K6" s="12" t="str"/>
    </x:row>
    <x:row r="7">
      <x:c r="A7" s="12" t="str">
        <x:v>A-06</x:v>
      </x:c>
      <x:c r="B7" s="12" t="str">
        <x:v>Which topology/data-integrity checks are mandatory?</x:v>
      </x:c>
      <x:c r="C7" s="12" t="str">
        <x:v>Business Rule</x:v>
      </x:c>
      <x:c r="D7" s="12" t="str">
        <x:v>High</x:v>
      </x:c>
      <x:c r="E7" s="12" t="str">
        <x:v>Connectivity, duplicates, gaps/overlaps and invalid geometry are expected checks.</x:v>
      </x:c>
      <x:c r="F7" s="12" t="str">
        <x:v>Define which topology conditions block processing versus create warnings.</x:v>
      </x:c>
      <x:c r="G7" s="12" t="str">
        <x:v>Use a standard topology rule set with severity classification.</x:v>
      </x:c>
      <x:c r="H7" s="12" t="str">
        <x:v>NLA / SMD</x:v>
      </x:c>
      <x:c r="I7" s="12" t="str">
        <x:v>Technically questionable geometry could advance inconsistently.</x:v>
      </x:c>
      <x:c r="J7" s="12" t="str">
        <x:v>Partially Defined</x:v>
      </x:c>
      <x:c r="K7" s="12" t="str"/>
    </x:row>
    <x:row r="8">
      <x:c r="A8" s="12" t="str">
        <x:v>A-07</x:v>
      </x:c>
      <x:c r="B8" s="12" t="str">
        <x:v>How should CAD-to-PDF inconsistencies be handled?</x:v>
      </x:c>
      <x:c r="C8" s="12" t="str">
        <x:v>Business Rule</x:v>
      </x:c>
      <x:c r="D8" s="12" t="str">
        <x:v>Medium</x:v>
      </x:c>
      <x:c r="E8" s="12" t="str">
        <x:v>Digital submissions should be visually/structurally consistent across submitted representations.</x:v>
      </x:c>
      <x:c r="F8" s="12" t="str">
        <x:v>Define whether mismatch is blocking, warning, or examiner override.</x:v>
      </x:c>
      <x:c r="G8" s="12" t="str">
        <x:v>Treat material boundary/dimension mismatch as blocking; minor cartographic differences as reviewable warnings.</x:v>
      </x:c>
      <x:c r="H8" s="12" t="str">
        <x:v>NLA / SMD</x:v>
      </x:c>
      <x:c r="I8" s="12" t="str">
        <x:v>Conflicting source representations may be accepted without a consistent rule.</x:v>
      </x:c>
      <x:c r="J8" s="12" t="str">
        <x:v>Open</x:v>
      </x:c>
      <x:c r="K8" s="12" t="str"/>
    </x:row>
    <x:row r="9">
      <x:c r="A9" s="12" t="str">
        <x:v>A-08</x:v>
      </x:c>
      <x:c r="B9" s="12" t="str">
        <x:v>How do we distinguish a submission error from an existing cadastral-data problem?</x:v>
      </x:c>
      <x:c r="C9" s="12" t="str">
        <x:v>Governance</x:v>
      </x:c>
      <x:c r="D9" s="12" t="str">
        <x:v>Critical</x:v>
      </x:c>
      <x:c r="E9" s="12" t="str">
        <x:v>The current design detects conflicts but does not fully classify whether the new submission or legacy data is wrong.</x:v>
      </x:c>
      <x:c r="F9" s="12" t="str">
        <x:v>Define discrepancy categories and the workflow path for each.</x:v>
      </x:c>
      <x:c r="G9" s="12" t="str">
        <x:v>Introduce explicit classification: Submission Error / Legacy Data Issue / Cross-System Conflict / Undetermined.</x:v>
      </x:c>
      <x:c r="H9" s="12" t="str">
        <x:v>NLA Joint</x:v>
      </x:c>
      <x:c r="I9" s="12" t="str">
        <x:v>Valid surveys may be rejected because legacy data is wrong, or legacy errors may be overwritten without authority.</x:v>
      </x:c>
      <x:c r="J9" s="12" t="str">
        <x:v>Open</x:v>
      </x:c>
      <x:c r="K9" s="12" t="str"/>
    </x:row>
    <x:row r="10">
      <x:c r="A10" s="12" t="str">
        <x:v>A-09</x:v>
      </x:c>
      <x:c r="B10" s="12" t="str">
        <x:v>What happens when a mathematically valid survey conflicts with CadMap/CadIndex/Parcel Fabric?</x:v>
      </x:c>
      <x:c r="C10" s="12" t="str">
        <x:v>Governance</x:v>
      </x:c>
      <x:c r="D10" s="12" t="str">
        <x:v>Critical</x:v>
      </x:c>
      <x:c r="E10" s="12" t="str">
        <x:v>Compare identifies the conflict, but the decision path is not fully defined.</x:v>
      </x:c>
      <x:c r="F10" s="12" t="str">
        <x:v>Define escalation, required evidence and who determines whether the existing cadastre is wrong.</x:v>
      </x:c>
      <x:c r="G10" s="12" t="str">
        <x:v>Route to Cadastral Change Assessment rather than directly editing Enterprise data.</x:v>
      </x:c>
      <x:c r="H10" s="12" t="str">
        <x:v>NLA / SMD</x:v>
      </x:c>
      <x:c r="I10" s="12" t="str">
        <x:v>High risk of inconsistent or unauthorized cadastral changes.</x:v>
      </x:c>
      <x:c r="J10" s="12" t="str">
        <x:v>Open</x:v>
      </x:c>
      <x:c r="K10" s="12" t="str"/>
    </x:row>
    <x:row r="11">
      <x:c r="A11" s="12" t="str">
        <x:v>A-10</x:v>
      </x:c>
      <x:c r="B11" s="12" t="str">
        <x:v>Can an examiner override a failed/warning validation?</x:v>
      </x:c>
      <x:c r="C11" s="12" t="str">
        <x:v>Governance</x:v>
      </x:c>
      <x:c r="D11" s="12" t="str">
        <x:v>Critical</x:v>
      </x:c>
      <x:c r="E11" s="12" t="str">
        <x:v>Human-in-the-loop review is expected, but override authority is not clearly defined.</x:v>
      </x:c>
      <x:c r="F11" s="12" t="str">
        <x:v>Define which rules are non-overridable, who may override others, and what evidence is mandatory.</x:v>
      </x:c>
      <x:c r="G11" s="12" t="str">
        <x:v>Require named role, reason code, comments and supporting evidence for every override.</x:v>
      </x:c>
      <x:c r="H11" s="12" t="str">
        <x:v>NLA / SMD</x:v>
      </x:c>
      <x:c r="I11" s="12" t="str">
        <x:v>Automated controls can be bypassed without accountability.</x:v>
      </x:c>
      <x:c r="J11" s="12" t="str">
        <x:v>Open</x:v>
      </x:c>
      <x:c r="K11" s="12" t="str"/>
    </x:row>
    <x:row r="12">
      <x:c r="A12" s="12" t="str">
        <x:v>A-11</x:v>
      </x:c>
      <x:c r="B12" s="12" t="str">
        <x:v>What are the formal Compute outcomes?</x:v>
      </x:c>
      <x:c r="C12" s="12" t="str">
        <x:v>Technical</x:v>
      </x:c>
      <x:c r="D12" s="12" t="str">
        <x:v>Medium</x:v>
      </x:c>
      <x:c r="E12" s="12" t="str">
        <x:v>PASS / WARNING / FAIL are already used conceptually.</x:v>
      </x:c>
      <x:c r="F12" s="12" t="str">
        <x:v>Confirm statuses and mapping to workflow actions.</x:v>
      </x:c>
      <x:c r="G12" s="12" t="str">
        <x:v>Use PASSED, WARNING, FAILED, NEEDS_REVIEW with deterministic next actions.</x:v>
      </x:c>
      <x:c r="H12" s="12" t="str">
        <x:v>Joint Project Team</x:v>
      </x:c>
      <x:c r="I12" s="12" t="str">
        <x:v>Innola cannot consistently route results from ArcGIS Pro.</x:v>
      </x:c>
      <x:c r="J12" s="12" t="str">
        <x:v>Partially Defined</x:v>
      </x:c>
      <x:c r="K12" s="12" t="str"/>
    </x:row>
    <x:row r="13">
      <x:c r="A13" s="12" t="str">
        <x:v>A-12</x:v>
      </x:c>
      <x:c r="B13" s="12" t="str">
        <x:v>When may Compute proceed to Compare?</x:v>
      </x:c>
      <x:c r="C13" s="12" t="str">
        <x:v>Business Rule</x:v>
      </x:c>
      <x:c r="D13" s="12" t="str">
        <x:v>High</x:v>
      </x:c>
      <x:c r="E13" s="12" t="str">
        <x:v>Clean results should proceed; handling of warnings and legacy conflicts is unresolved.</x:v>
      </x:c>
      <x:c r="F13" s="12" t="str">
        <x:v>Define gate criteria by severity and exception type.</x:v>
      </x:c>
      <x:c r="G13" s="12" t="str">
        <x:v>Allow PASS and approved WARNING; block FAIL; route legacy-data conflicts to review.</x:v>
      </x:c>
      <x:c r="H13" s="12" t="str">
        <x:v>NLA / SMD</x:v>
      </x:c>
      <x:c r="I13" s="12" t="str">
        <x:v>Transactions may advance with unresolved technical issues.</x:v>
      </x:c>
      <x:c r="J13" s="12" t="str">
        <x:v>Open</x:v>
      </x:c>
      <x:c r="K13" s="12" t="str"/>
    </x:row>
    <x:row r="14">
      <x:c r="A14" s="12" t="str">
        <x:v>A-13</x:v>
      </x:c>
      <x:c r="B14" s="12" t="str">
        <x:v>What Compare findings block the transaction?</x:v>
      </x:c>
      <x:c r="C14" s="12" t="str">
        <x:v>Business Rule</x:v>
      </x:c>
      <x:c r="D14" s="12" t="str">
        <x:v>Critical</x:v>
      </x:c>
      <x:c r="E14" s="12" t="str">
        <x:v>Overlap, dual registration, boundary conflicts and cross-system inconsistencies can be discovered.</x:v>
      </x:c>
      <x:c r="F14" s="12" t="str">
        <x:v>Define blocking versus reviewable findings and required escalation.</x:v>
      </x:c>
      <x:c r="G14" s="12" t="str">
        <x:v>Create a Compare decision matrix with severity and disposition.</x:v>
      </x:c>
      <x:c r="H14" s="12" t="str">
        <x:v>NLA / SMD</x:v>
      </x:c>
      <x:c r="I14" s="12" t="str">
        <x:v>Potential legal/cadastral conflicts may be handled inconsistently.</x:v>
      </x:c>
      <x:c r="J14" s="12" t="str">
        <x:v>Open</x:v>
      </x:c>
      <x:c r="K14" s="12" t="str"/>
    </x:row>
    <x:row r="15">
      <x:c r="A15" s="12" t="str">
        <x:v>A-14</x:v>
      </x:c>
      <x:c r="B15" s="12" t="str">
        <x:v>What is the hierarchy when CadMap, CadIndex, title/registry and LVD information disagree?</x:v>
      </x:c>
      <x:c r="C15" s="12" t="str">
        <x:v>Cross-Division</x:v>
      </x:c>
      <x:c r="D15" s="12" t="str">
        <x:v>Critical</x:v>
      </x:c>
      <x:c r="E15" s="12" t="str">
        <x:v>No complete authoritative-source hierarchy has been established for all conflict scenarios.</x:v>
      </x:c>
      <x:c r="F15" s="12" t="str">
        <x:v>Approve the evidence hierarchy and which division owns each class of discrepancy.</x:v>
      </x:c>
      <x:c r="G15" s="12" t="str">
        <x:v>Document legal, cadastral and fiscal authority separately; do not treat all layers as equivalent.</x:v>
      </x:c>
      <x:c r="H15" s="12" t="str">
        <x:v>NLA Joint</x:v>
      </x:c>
      <x:c r="I15" s="12" t="str">
        <x:v>Cross-system discrepancies cannot be resolved consistently.</x:v>
      </x:c>
      <x:c r="J15" s="12" t="str">
        <x:v>Open</x:v>
      </x:c>
      <x:c r="K15" s="12" t="str"/>
    </x:row>
    <x:row r="16">
      <x:c r="A16" s="12" t="str">
        <x:v>A-15</x:v>
      </x:c>
      <x:c r="B16" s="12" t="str">
        <x:v>Who confirms technical completion of Compute/Compare?</x:v>
      </x:c>
      <x:c r="C16" s="12" t="str">
        <x:v>Governance</x:v>
      </x:c>
      <x:c r="D16" s="12" t="str">
        <x:v>High</x:v>
      </x:c>
      <x:c r="E16" s="12" t="str">
        <x:v>A Plan Examiner performs/reviews technical work, but final authority needs role confirmation.</x:v>
      </x:c>
      <x:c r="F16" s="12" t="str">
        <x:v>Name the role that accepts technical completion and any cases requiring senior review.</x:v>
      </x:c>
      <x:c r="G16" s="12" t="str">
        <x:v>Use role-based completion with escalation thresholds.</x:v>
      </x:c>
      <x:c r="H16" s="12" t="str">
        <x:v>NLA / SMD</x:v>
      </x:c>
      <x:c r="I16" s="12" t="str">
        <x:v>No accountable sign-off point before authoritative change decisions.</x:v>
      </x:c>
      <x:c r="J16" s="12" t="str">
        <x:v>Open</x:v>
      </x:c>
      <x:c r="K16" s="12" t="str"/>
    </x:row>
    <x:row r="17">
      <x:c r="A17" s="12" t="str">
        <x:v>A-16</x:v>
      </x:c>
      <x:c r="B17" s="12" t="str">
        <x:v>What outputs must be returned to Innola?</x:v>
      </x:c>
      <x:c r="C17" s="12" t="str">
        <x:v>Technical</x:v>
      </x:c>
      <x:c r="D17" s="12" t="str">
        <x:v>High</x:v>
      </x:c>
      <x:c r="E17" s="12" t="str">
        <x:v>Status, validation results, logs and artifacts are expected.</x:v>
      </x:c>
      <x:c r="F17" s="12" t="str">
        <x:v>Finalize the output contract including affected parcels, discrepancy class, evidence and recommended action.</x:v>
      </x:c>
      <x:c r="G17" s="12" t="str">
        <x:v>Return structured JSON/status plus links to reports/workspace artifacts.</x:v>
      </x:c>
      <x:c r="H17" s="12" t="str">
        <x:v>Joint Project Team</x:v>
      </x:c>
      <x:c r="I17" s="12" t="str">
        <x:v>Workflow cannot make deterministic routing decisions.</x:v>
      </x:c>
      <x:c r="J17" s="12" t="str">
        <x:v>Partially Defined</x:v>
      </x:c>
      <x:c r="K17" s="12" t="str"/>
    </x:row>
    <x:row r="18">
      <x:c r="A18" s="12" t="str">
        <x:v>A-17</x:v>
      </x:c>
      <x:c r="B18" s="12" t="str">
        <x:v>What must be retained for audit and reproducibility?</x:v>
      </x:c>
      <x:c r="C18" s="12" t="str">
        <x:v>Governance</x:v>
      </x:c>
      <x:c r="D18" s="12" t="str">
        <x:v>High</x:v>
      </x:c>
      <x:c r="E18" s="12" t="str">
        <x:v>Transaction workspace, logs, user/time, validation outputs and results are conceptually required.</x:v>
      </x:c>
      <x:c r="F18" s="12" t="str">
        <x:v>Approve retention contents and period.</x:v>
      </x:c>
      <x:c r="G18" s="12" t="str">
        <x:v>Retain input references, rule version, execution logs, before/after geometry, decisions and approvals.</x:v>
      </x:c>
      <x:c r="H18" s="12" t="str">
        <x:v>NLA Joint</x:v>
      </x:c>
      <x:c r="I18" s="12" t="str">
        <x:v>Unable to reconstruct why a spatial decision was made.</x:v>
      </x:c>
      <x:c r="J18" s="12" t="str">
        <x:v>Partially Defined</x:v>
      </x:c>
      <x:c r="K18" s="12" t="str"/>
    </x:row>
  </x:sheetData>
  <x:conditionalFormatting sqref="D2:D18">
    <x:cfRule type="expression" dxfId="0" priority="1">
      <x:formula>D2="Critical"</x:formula>
    </x:cfRule>
    <x:cfRule type="expression" dxfId="1" priority="2">
      <x:formula>D2="High"</x:formula>
    </x:cfRule>
    <x:cfRule type="expression" dxfId="2" priority="3">
      <x:formula>D2="Medium"</x:formula>
    </x:cfRule>
    <x:cfRule type="expression" dxfId="3" priority="4">
      <x:formula>D2="Low"</x:formula>
    </x:cfRule>
  </x:conditionalFormatting>
  <x:conditionalFormatting sqref="J2:J18">
    <x:cfRule type="expression" dxfId="4" priority="5">
      <x:formula>J2="Open"</x:formula>
    </x:cfRule>
    <x:cfRule type="expression" dxfId="5" priority="6">
      <x:formula>J2="Partially Defined"</x:formula>
    </x:cfRule>
    <x:cfRule type="expression" dxfId="6" priority="7">
      <x:formula>J2="Defined"</x:formula>
    </x:cfRule>
    <x:cfRule type="expression" dxfId="7" priority="8">
      <x:formula>J2="Closed"</x:formula>
    </x:cfRule>
  </x:conditionalFormatting>
  <x:dataValidations count="4">
    <x:dataValidation type="list" sqref="C2:C18">
      <x:formula1>Lists!$D$2:$D$6</x:formula1>
    </x:dataValidation>
    <x:dataValidation type="list" sqref="D2:D18">
      <x:formula1>Lists!$B$2:$B$5</x:formula1>
    </x:dataValidation>
    <x:dataValidation type="list" sqref="H2:H18">
      <x:formula1>Lists!$C$2:$C$8</x:formula1>
    </x:dataValidation>
    <x:dataValidation type="list" sqref="J2:J18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1b9417544049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6" hidden="0" customWidth="1"/>
    <x:col min="4" max="4" width="11" hidden="0" customWidth="1"/>
    <x:col min="5" max="5" width="34" hidden="0" customWidth="1"/>
    <x:col min="6" max="6" width="34" hidden="0" customWidth="1"/>
    <x:col min="7" max="7" width="38" hidden="0" customWidth="1"/>
    <x:col min="8" max="8" width="18" hidden="0" customWidth="1"/>
    <x:col min="9" max="9" width="34" hidden="0" customWidth="1"/>
    <x:col min="10" max="10" width="17" hidden="0" customWidth="1"/>
    <x:col min="11" max="11" width="30" hidden="0" customWidth="1"/>
  </x:cols>
  <x:sheetData>
    <x:row r="1">
      <x:c r="A1" s="14" t="str">
        <x:v>ID</x:v>
      </x:c>
      <x:c r="B1" s="14" t="str">
        <x:v>Decision / Question</x:v>
      </x:c>
      <x:c r="C1" s="14" t="str">
        <x:v>Decision Type</x:v>
      </x:c>
      <x:c r="D1" s="14" t="str">
        <x:v>Priority</x:v>
      </x:c>
      <x:c r="E1" s="14" t="str">
        <x:v>Current Position / Assumption</x:v>
      </x:c>
      <x:c r="F1" s="14" t="str">
        <x:v>Decision Required</x:v>
      </x:c>
      <x:c r="G1" s="14" t="str">
        <x:v>Recommended Direction</x:v>
      </x:c>
      <x:c r="H1" s="14" t="str">
        <x:v>Decision Owner</x:v>
      </x:c>
      <x:c r="I1" s="14" t="str">
        <x:v>Impact if Undefined</x:v>
      </x:c>
      <x:c r="J1" s="14" t="str">
        <x:v>Status</x:v>
      </x:c>
      <x:c r="K1" s="14" t="str">
        <x:v>Notes / Final Decision</x:v>
      </x:c>
    </x:row>
    <x:row r="2">
      <x:c r="A2" s="12" t="str">
        <x:v>B-01</x:v>
      </x:c>
      <x:c r="B2" s="12" t="str">
        <x:v>Who determines that an Enterprise parcel requires change?</x:v>
      </x:c>
      <x:c r="C2" s="12" t="str">
        <x:v>Governance</x:v>
      </x:c>
      <x:c r="D2" s="12" t="str">
        <x:v>Critical</x:v>
      </x:c>
      <x:c r="E2" s="12" t="str">
        <x:v>Compute/Compare may identify a discrepancy, but authority to determine the cadastral treatment is not clearly assigned.</x:v>
      </x:c>
      <x:c r="F2" s="12" t="str">
        <x:v>Name the role that converts a technical finding into an authorized cadastral-change proposal.</x:v>
      </x:c>
      <x:c r="G2" s="12" t="str">
        <x:v>Plan Examiner identifies; Senior/Chief cadastral authority determines proposed treatment.</x:v>
      </x:c>
      <x:c r="H2" s="12" t="str">
        <x:v>NLA / SMD</x:v>
      </x:c>
      <x:c r="I2" s="12" t="str">
        <x:v>No accountable decision-maker for authoritative parcel changes.</x:v>
      </x:c>
      <x:c r="J2" s="12" t="str">
        <x:v>Open</x:v>
      </x:c>
      <x:c r="K2" s="12" t="str"/>
    </x:row>
    <x:row r="3">
      <x:c r="A3" s="12" t="str">
        <x:v>B-02</x:v>
      </x:c>
      <x:c r="B3" s="12" t="str">
        <x:v>Can the Plan Examiner directly modify authoritative Enterprise parcel data?</x:v>
      </x:c>
      <x:c r="C3" s="12" t="str">
        <x:v>Governance</x:v>
      </x:c>
      <x:c r="D3" s="12" t="str">
        <x:v>Critical</x:v>
      </x:c>
      <x:c r="E3" s="12" t="str">
        <x:v>The design uses transaction/versioned workspaces, but direct authoritative-edit permissions need explicit policy.</x:v>
      </x:c>
      <x:c r="F3" s="12" t="str">
        <x:v>Define maker privileges and prohibit or allow direct edits by scenario.</x:v>
      </x:c>
      <x:c r="G3" s="12" t="str">
        <x:v>Examiner should edit only a transaction/version workspace, not post directly to authoritative data.</x:v>
      </x:c>
      <x:c r="H3" s="12" t="str">
        <x:v>NLA / SMD</x:v>
      </x:c>
      <x:c r="I3" s="12" t="str">
        <x:v>Unauthorized or premature changes may reach production.</x:v>
      </x:c>
      <x:c r="J3" s="12" t="str">
        <x:v>Open</x:v>
      </x:c>
      <x:c r="K3" s="12" t="str"/>
    </x:row>
    <x:row r="4">
      <x:c r="A4" s="12" t="str">
        <x:v>B-03</x:v>
      </x:c>
      <x:c r="B4" s="12" t="str">
        <x:v>Who approves a geometry adjustment?</x:v>
      </x:c>
      <x:c r="C4" s="12" t="str">
        <x:v>Governance</x:v>
      </x:c>
      <x:c r="D4" s="12" t="str">
        <x:v>Critical</x:v>
      </x:c>
      <x:c r="E4" s="12" t="str">
        <x:v>Review/approval is conceptually required but role and thresholds are not final.</x:v>
      </x:c>
      <x:c r="F4" s="12" t="str">
        <x:v>Name approving role and define what qualifies as a minor adjustment.</x:v>
      </x:c>
      <x:c r="G4" s="12" t="str">
        <x:v>Senior cadastral reviewer approves; maker cannot self-approve.</x:v>
      </x:c>
      <x:c r="H4" s="12" t="str">
        <x:v>NLA / SMD</x:v>
      </x:c>
      <x:c r="I4" s="12" t="str">
        <x:v>Small changes may accumulate without consistent oversight.</x:v>
      </x:c>
      <x:c r="J4" s="12" t="str">
        <x:v>Open</x:v>
      </x:c>
      <x:c r="K4" s="12" t="str"/>
    </x:row>
    <x:row r="5">
      <x:c r="A5" s="12" t="str">
        <x:v>B-04</x:v>
      </x:c>
      <x:c r="B5" s="12" t="str">
        <x:v>Who approves a geometry replacement?</x:v>
      </x:c>
      <x:c r="C5" s="12" t="str">
        <x:v>Governance</x:v>
      </x:c>
      <x:c r="D5" s="12" t="str">
        <x:v>Critical</x:v>
      </x:c>
      <x:c r="E5" s="12" t="str">
        <x:v>Replacement is higher risk than a normal adjustment and is not clearly governed.</x:v>
      </x:c>
      <x:c r="F5" s="12" t="str">
        <x:v>Define approval level and supporting evidence.</x:v>
      </x:c>
      <x:c r="G5" s="12" t="str">
        <x:v>Require senior/manager approval plus explicit reason and before/after comparison.</x:v>
      </x:c>
      <x:c r="H5" s="12" t="str">
        <x:v>NLA / SMD</x:v>
      </x:c>
      <x:c r="I5" s="12" t="str">
        <x:v>Existing authoritative geometry could be overwritten without sufficient authority.</x:v>
      </x:c>
      <x:c r="J5" s="12" t="str">
        <x:v>Open</x:v>
      </x:c>
      <x:c r="K5" s="12" t="str"/>
    </x:row>
    <x:row r="6">
      <x:c r="A6" s="12" t="str">
        <x:v>B-05</x:v>
      </x:c>
      <x:c r="B6" s="12" t="str">
        <x:v>When is a parcel considered corrected versus replaced?</x:v>
      </x:c>
      <x:c r="C6" s="12" t="str">
        <x:v>Data Policy</x:v>
      </x:c>
      <x:c r="D6" s="12" t="str">
        <x:v>Critical</x:v>
      </x:c>
      <x:c r="E6" s="12" t="str">
        <x:v>Terminology and lifecycle effects are not fully defined.</x:v>
      </x:c>
      <x:c r="F6" s="12" t="str">
        <x:v>Define correction, adjustment, replacement, retirement, subdivision and amalgamation.</x:v>
      </x:c>
      <x:c r="G6" s="12" t="str">
        <x:v>Adopt formal cadastral lifecycle definitions tied to PID/lineage rules.</x:v>
      </x:c>
      <x:c r="H6" s="12" t="str">
        <x:v>NLA / SMD</x:v>
      </x:c>
      <x:c r="I6" s="12" t="str">
        <x:v>Inconsistent PID history and lineage.</x:v>
      </x:c>
      <x:c r="J6" s="12" t="str">
        <x:v>Open</x:v>
      </x:c>
      <x:c r="K6" s="12" t="str"/>
    </x:row>
    <x:row r="7">
      <x:c r="A7" s="12" t="str">
        <x:v>B-06</x:v>
      </x:c>
      <x:c r="B7" s="12" t="str">
        <x:v>When can an existing PID retain its identity after geometry change?</x:v>
      </x:c>
      <x:c r="C7" s="12" t="str">
        <x:v>Data Policy</x:v>
      </x:c>
      <x:c r="D7" s="12" t="str">
        <x:v>Critical</x:v>
      </x:c>
      <x:c r="E7" s="12" t="str">
        <x:v>PID persistence rules are not fully defined.</x:v>
      </x:c>
      <x:c r="F7" s="12" t="str">
        <x:v>Define allowable geometry-change threshold/type for retaining PID.</x:v>
      </x:c>
      <x:c r="G7" s="12" t="str">
        <x:v>Retain PID only where legal parcel identity is unchanged; create lineage event for geometry correction.</x:v>
      </x:c>
      <x:c r="H7" s="12" t="str">
        <x:v>NLA / SMD</x:v>
      </x:c>
      <x:c r="I7" s="12" t="str">
        <x:v>Incorrect parcel identity continuity or unnecessary PID proliferation.</x:v>
      </x:c>
      <x:c r="J7" s="12" t="str">
        <x:v>Open</x:v>
      </x:c>
      <x:c r="K7" s="12" t="str"/>
    </x:row>
    <x:row r="8">
      <x:c r="A8" s="12" t="str">
        <x:v>B-07</x:v>
      </x:c>
      <x:c r="B8" s="12" t="str">
        <x:v>When must a new PID be created and the prior parcel retired?</x:v>
      </x:c>
      <x:c r="C8" s="12" t="str">
        <x:v>Data Policy</x:v>
      </x:c>
      <x:c r="D8" s="12" t="str">
        <x:v>Critical</x:v>
      </x:c>
      <x:c r="E8" s="12" t="str">
        <x:v>Subdivision/amalgamation clearly imply lifecycle changes, but full rule set is pending.</x:v>
      </x:c>
      <x:c r="F8" s="12" t="str">
        <x:v>Approve PID creation/retirement rules for subdivision, merge, replacement and boundary redefinition.</x:v>
      </x:c>
      <x:c r="G8" s="12" t="str">
        <x:v>Never reuse retired PID; preserve parent-child lineage.</x:v>
      </x:c>
      <x:c r="H8" s="12" t="str">
        <x:v>NLA / SMD</x:v>
      </x:c>
      <x:c r="I8" s="12" t="str">
        <x:v>Broken parcel lineage and downstream registry/valuation mismatches.</x:v>
      </x:c>
      <x:c r="J8" s="12" t="str">
        <x:v>Open</x:v>
      </x:c>
      <x:c r="K8" s="12" t="str"/>
    </x:row>
    <x:row r="9">
      <x:c r="A9" s="12" t="str">
        <x:v>B-08</x:v>
      </x:c>
      <x:c r="B9" s="12" t="str">
        <x:v>Who approves subdivision and parent-parcel retirement?</x:v>
      </x:c>
      <x:c r="C9" s="12" t="str">
        <x:v>Governance</x:v>
      </x:c>
      <x:c r="D9" s="12" t="str">
        <x:v>High</x:v>
      </x:c>
      <x:c r="E9" s="12" t="str">
        <x:v>Expected workflow exists conceptually, but authority should be explicit.</x:v>
      </x:c>
      <x:c r="F9" s="12" t="str">
        <x:v>Name maker/checker/approver roles.</x:v>
      </x:c>
      <x:c r="G9" s="12" t="str">
        <x:v>Require approved survey/transaction evidence and independent cadastral approval.</x:v>
      </x:c>
      <x:c r="H9" s="12" t="str">
        <x:v>NLA / SMD</x:v>
      </x:c>
      <x:c r="I9" s="12" t="str">
        <x:v>Child parcels may be created without controlled retirement of parent.</x:v>
      </x:c>
      <x:c r="J9" s="12" t="str">
        <x:v>Open</x:v>
      </x:c>
      <x:c r="K9" s="12" t="str"/>
    </x:row>
    <x:row r="10">
      <x:c r="A10" s="12" t="str">
        <x:v>B-09</x:v>
      </x:c>
      <x:c r="B10" s="12" t="str">
        <x:v>Who approves amalgamation/merge of parcels?</x:v>
      </x:c>
      <x:c r="C10" s="12" t="str">
        <x:v>Governance</x:v>
      </x:c>
      <x:c r="D10" s="12" t="str">
        <x:v>High</x:v>
      </x:c>
      <x:c r="E10" s="12" t="str">
        <x:v>Merge mechanics are known technically, but business authority needs definition.</x:v>
      </x:c>
      <x:c r="F10" s="12" t="str">
        <x:v>Define evidence, ownership/title prerequisites and approving role.</x:v>
      </x:c>
      <x:c r="G10" s="12" t="str">
        <x:v>Do not merge solely because geometries touch; require authorized transaction and legal/cadastral basis.</x:v>
      </x:c>
      <x:c r="H10" s="12" t="str">
        <x:v>NLA Joint</x:v>
      </x:c>
      <x:c r="I10" s="12" t="str">
        <x:v>Incorrect legal parcels may be collapsed into one spatial feature.</x:v>
      </x:c>
      <x:c r="J10" s="12" t="str">
        <x:v>Open</x:v>
      </x:c>
      <x:c r="K10" s="12" t="str"/>
    </x:row>
    <x:row r="11">
      <x:c r="A11" s="12" t="str">
        <x:v>B-10</x:v>
      </x:c>
      <x:c r="B11" s="12" t="str">
        <x:v>Who approves a boundary adjustment affecting two or more active parcels?</x:v>
      </x:c>
      <x:c r="C11" s="12" t="str">
        <x:v>Cross-Division</x:v>
      </x:c>
      <x:c r="D11" s="12" t="str">
        <x:v>Critical</x:v>
      </x:c>
      <x:c r="E11" s="12" t="str">
        <x:v>This can affect multiple legal/fiscal relationships and is not sufficiently governed.</x:v>
      </x:c>
      <x:c r="F11" s="12" t="str">
        <x:v>Define required evidence and whether LTD/LVD consultation is mandatory.</x:v>
      </x:c>
      <x:c r="G11" s="12" t="str">
        <x:v>Escalate multi-parcel boundary adjustments for senior cadastral review and cross-system impact check.</x:v>
      </x:c>
      <x:c r="H11" s="12" t="str">
        <x:v>NLA Joint</x:v>
      </x:c>
      <x:c r="I11" s="12" t="str">
        <x:v>One parcel can be corrected at the expense of another without coordinated approval.</x:v>
      </x:c>
      <x:c r="J11" s="12" t="str">
        <x:v>Open</x:v>
      </x:c>
      <x:c r="K11" s="12" t="str"/>
    </x:row>
    <x:row r="12">
      <x:c r="A12" s="12" t="str">
        <x:v>B-11</x:v>
      </x:c>
      <x:c r="B12" s="12" t="str">
        <x:v>What happens when two approved surveys overlap?</x:v>
      </x:c>
      <x:c r="C12" s="12" t="str">
        <x:v>Governance</x:v>
      </x:c>
      <x:c r="D12" s="12" t="str">
        <x:v>Critical</x:v>
      </x:c>
      <x:c r="E12" s="12" t="str">
        <x:v>No deterministic rule can safely choose one automatically.</x:v>
      </x:c>
      <x:c r="F12" s="12" t="str">
        <x:v>Define investigation and adjudication/escalation route.</x:v>
      </x:c>
      <x:c r="G12" s="12" t="str">
        <x:v>Stop posting; preserve both evidence sets; escalate to designated cadastral/legal authority.</x:v>
      </x:c>
      <x:c r="H12" s="12" t="str">
        <x:v>NLA Joint</x:v>
      </x:c>
      <x:c r="I12" s="12" t="str">
        <x:v>Risk of dual registration or unauthorized preference between legal surveys.</x:v>
      </x:c>
      <x:c r="J12" s="12" t="str">
        <x:v>Open</x:v>
      </x:c>
      <x:c r="K12" s="12" t="str"/>
    </x:row>
    <x:row r="13">
      <x:c r="A13" s="12" t="str">
        <x:v>B-12</x:v>
      </x:c>
      <x:c r="B13" s="12" t="str">
        <x:v>What happens when existing Enterprise parcels overlap each other before the new transaction?</x:v>
      </x:c>
      <x:c r="C13" s="12" t="str">
        <x:v>Data Policy</x:v>
      </x:c>
      <x:c r="D13" s="12" t="str">
        <x:v>Critical</x:v>
      </x:c>
      <x:c r="E13" s="12" t="str">
        <x:v>Legacy overlaps are known to exist.</x:v>
      </x:c>
      <x:c r="F13" s="12" t="str">
        <x:v>Define whether transaction processing may proceed, and how legacy discrepancy is recorded/resolved.</x:v>
      </x:c>
      <x:c r="G13" s="12" t="str">
        <x:v>Do not silently fix during unrelated transaction; create linked legacy-correction case unless directly required.</x:v>
      </x:c>
      <x:c r="H13" s="12" t="str">
        <x:v>NLA / SMD</x:v>
      </x:c>
      <x:c r="I13" s="12" t="str">
        <x:v>New transaction becomes an uncontrolled cleanup vehicle for historical errors.</x:v>
      </x:c>
      <x:c r="J13" s="12" t="str">
        <x:v>Open</x:v>
      </x:c>
      <x:c r="K13" s="12" t="str"/>
    </x:row>
    <x:row r="14">
      <x:c r="A14" s="12" t="str">
        <x:v>B-13</x:v>
      </x:c>
      <x:c r="B14" s="12" t="str">
        <x:v>Which dataset is authoritative for legal boundary decisions?</x:v>
      </x:c>
      <x:c r="C14" s="12" t="str">
        <x:v>Cross-Division</x:v>
      </x:c>
      <x:c r="D14" s="12" t="str">
        <x:v>Critical</x:v>
      </x:c>
      <x:c r="E14" s="12" t="str">
        <x:v>CadMap, CadIndex, Parcel Fabric, survey plans, title records and valuation data may conflict.</x:v>
      </x:c>
      <x:c r="F14" s="12" t="str">
        <x:v>Define legal/cadastral/fiscal source hierarchy and evidence rules.</x:v>
      </x:c>
      <x:c r="G14" s="12" t="str">
        <x:v>Separate legal authority from spatial operational layer; approved survey/legal record should drive authorized correction, not simply latest GIS geometry.</x:v>
      </x:c>
      <x:c r="H14" s="12" t="str">
        <x:v>NLA Joint</x:v>
      </x:c>
      <x:c r="I14" s="12" t="str">
        <x:v>Conflicts cannot be resolved consistently or defensibly.</x:v>
      </x:c>
      <x:c r="J14" s="12" t="str">
        <x:v>Open</x:v>
      </x:c>
      <x:c r="K14" s="12" t="str"/>
    </x:row>
    <x:row r="15">
      <x:c r="A15" s="12" t="str">
        <x:v>B-14</x:v>
      </x:c>
      <x:c r="B15" s="12" t="str">
        <x:v>If title/registry information conflicts with GIS geometry, who resolves it?</x:v>
      </x:c>
      <x:c r="C15" s="12" t="str">
        <x:v>Cross-Division</x:v>
      </x:c>
      <x:c r="D15" s="12" t="str">
        <x:v>Critical</x:v>
      </x:c>
      <x:c r="E15" s="12" t="str">
        <x:v>Cross-division coordination is required but detailed responsibility is pending.</x:v>
      </x:c>
      <x:c r="F15" s="12" t="str">
        <x:v>Define LTD/SMD referral and decision ownership.</x:v>
      </x:c>
      <x:c r="G15" s="12" t="str">
        <x:v>SMD owns spatial analysis; LTD owns legal registry interpretation; unresolved cases require joint disposition.</x:v>
      </x:c>
      <x:c r="H15" s="12" t="str">
        <x:v>NLA Joint</x:v>
      </x:c>
      <x:c r="I15" s="12" t="str">
        <x:v>Spatial update may contradict the legal register.</x:v>
      </x:c>
      <x:c r="J15" s="12" t="str">
        <x:v>Open</x:v>
      </x:c>
      <x:c r="K15" s="12" t="str"/>
    </x:row>
    <x:row r="16">
      <x:c r="A16" s="12" t="str">
        <x:v>B-15</x:v>
      </x:c>
      <x:c r="B16" s="12" t="str">
        <x:v>If LVD fiscal parcel geometry conflicts with SMD cadastral geometry, who owns the correction?</x:v>
      </x:c>
      <x:c r="C16" s="12" t="str">
        <x:v>Cross-Division</x:v>
      </x:c>
      <x:c r="D16" s="12" t="str">
        <x:v>High</x:v>
      </x:c>
      <x:c r="E16" s="12" t="str">
        <x:v>Legal and fiscal parcel models serve different purposes.</x:v>
      </x:c>
      <x:c r="F16" s="12" t="str">
        <x:v>Define ownership and synchronization rule.</x:v>
      </x:c>
      <x:c r="G16" s="12" t="str">
        <x:v>SMD controls cadastral/legal geometry; LVD corrects fiscal representation based on approved cadastral outcome where applicable.</x:v>
      </x:c>
      <x:c r="H16" s="12" t="str">
        <x:v>NLA Joint</x:v>
      </x:c>
      <x:c r="I16" s="12" t="str">
        <x:v>Fiscal and cadastral layers diverge further.</x:v>
      </x:c>
      <x:c r="J16" s="12" t="str">
        <x:v>Open</x:v>
      </x:c>
      <x:c r="K16" s="12" t="str"/>
    </x:row>
    <x:row r="17">
      <x:c r="A17" s="12" t="str">
        <x:v>B-16</x:v>
      </x:c>
      <x:c r="B17" s="12" t="str">
        <x:v>Must every authoritative parcel change use maker-checker approval?</x:v>
      </x:c>
      <x:c r="C17" s="12" t="str">
        <x:v>Governance</x:v>
      </x:c>
      <x:c r="D17" s="12" t="str">
        <x:v>Critical</x:v>
      </x:c>
      <x:c r="E17" s="12" t="str">
        <x:v>Maker-checker is a stated design principle but exceptions are not fully defined.</x:v>
      </x:c>
      <x:c r="F17" s="12" t="str">
        <x:v>Approve mandatory checker policy and any low-risk exceptions.</x:v>
      </x:c>
      <x:c r="G17" s="12" t="str">
        <x:v>Require maker-checker for all geometry changes; only metadata-only low-risk changes may use simplified approval if NLA agrees.</x:v>
      </x:c>
      <x:c r="H17" s="12" t="str">
        <x:v>NLA / SMD</x:v>
      </x:c>
      <x:c r="I17" s="12" t="str">
        <x:v>Single-user changes undermine control and auditability.</x:v>
      </x:c>
      <x:c r="J17" s="12" t="str">
        <x:v>Partially Defined</x:v>
      </x:c>
      <x:c r="K17" s="12" t="str"/>
    </x:row>
    <x:row r="18">
      <x:c r="A18" s="12" t="str">
        <x:v>B-17</x:v>
      </x:c>
      <x:c r="B18" s="12" t="str">
        <x:v>Can the reviewer modify the maker's edits directly?</x:v>
      </x:c>
      <x:c r="C18" s="12" t="str">
        <x:v>Governance</x:v>
      </x:c>
      <x:c r="D18" s="12" t="str">
        <x:v>High</x:v>
      </x:c>
      <x:c r="E18" s="12" t="str">
        <x:v>Not defined.</x:v>
      </x:c>
      <x:c r="F18" s="12" t="str">
        <x:v>Decide whether reviewer may edit, or only approve/reject/return.</x:v>
      </x:c>
      <x:c r="G18" s="12" t="str">
        <x:v>Reviewer should normally return for correction; if reviewer edits, system should record reviewer as a new maker action requiring re-validation.</x:v>
      </x:c>
      <x:c r="H18" s="12" t="str">
        <x:v>NLA / SMD</x:v>
      </x:c>
      <x:c r="I18" s="12" t="str">
        <x:v>Blurred accountability for who made the final geometry.</x:v>
      </x:c>
      <x:c r="J18" s="12" t="str">
        <x:v>Open</x:v>
      </x:c>
      <x:c r="K18" s="12" t="str"/>
    </x:row>
    <x:row r="19">
      <x:c r="A19" s="12" t="str">
        <x:v>B-18</x:v>
      </x:c>
      <x:c r="B19" s="12" t="str">
        <x:v>What happens when reviewer disagrees with the proposed cadastral action?</x:v>
      </x:c>
      <x:c r="C19" s="12" t="str">
        <x:v>Governance</x:v>
      </x:c>
      <x:c r="D19" s="12" t="str">
        <x:v>High</x:v>
      </x:c>
      <x:c r="E19" s="12" t="str">
        <x:v>Redo/return is conceptually anticipated.</x:v>
      </x:c>
      <x:c r="F19" s="12" t="str">
        <x:v>Define statuses, comments, escalation and rework loop.</x:v>
      </x:c>
      <x:c r="G19" s="12" t="str">
        <x:v>Return to maker with mandatory reason; escalate unresolved disputes to designated senior authority.</x:v>
      </x:c>
      <x:c r="H19" s="12" t="str">
        <x:v>NLA / SMD</x:v>
      </x:c>
      <x:c r="I19" s="12" t="str">
        <x:v>Disagreements can stall informally outside the system.</x:v>
      </x:c>
      <x:c r="J19" s="12" t="str">
        <x:v>Open</x:v>
      </x:c>
      <x:c r="K19" s="12" t="str"/>
    </x:row>
    <x:row r="20">
      <x:c r="A20" s="12" t="str">
        <x:v>B-19</x:v>
      </x:c>
      <x:c r="B20" s="12" t="str">
        <x:v>Which changes require a second/high-risk approval?</x:v>
      </x:c>
      <x:c r="C20" s="12" t="str">
        <x:v>Governance</x:v>
      </x:c>
      <x:c r="D20" s="12" t="str">
        <x:v>High</x:v>
      </x:c>
      <x:c r="E20" s="12" t="str">
        <x:v>No risk-tier approval model is defined.</x:v>
      </x:c>
      <x:c r="F20" s="12" t="str">
        <x:v>Identify high-risk events: replacement, large overlap, title conflict, multi-parcel adjustment, historical correction.</x:v>
      </x:c>
      <x:c r="G20" s="12" t="str">
        <x:v>Use risk-based approval levels rather than one approval rule for every edit.</x:v>
      </x:c>
      <x:c r="H20" s="12" t="str">
        <x:v>NLA / SMD</x:v>
      </x:c>
      <x:c r="I20" s="12" t="str">
        <x:v>High-impact changes receive the same scrutiny as routine corrections.</x:v>
      </x:c>
      <x:c r="J20" s="12" t="str">
        <x:v>Open</x:v>
      </x:c>
      <x:c r="K20" s="12" t="str"/>
    </x:row>
    <x:row r="21">
      <x:c r="A21" s="12" t="str">
        <x:v>B-20</x:v>
      </x:c>
      <x:c r="B21" s="12" t="str">
        <x:v>Who performs reconcile/post to authoritative Enterprise data?</x:v>
      </x:c>
      <x:c r="C21" s="12" t="str">
        <x:v>Technical</x:v>
      </x:c>
      <x:c r="D21" s="12" t="str">
        <x:v>Critical</x:v>
      </x:c>
      <x:c r="E21" s="12" t="str">
        <x:v>The workflow expects reconcile/post after approval, but final operational responsibility is not explicit.</x:v>
      </x:c>
      <x:c r="F21" s="12" t="str">
        <x:v>Define whether system service account or authorized role executes posting.</x:v>
      </x:c>
      <x:c r="G21" s="12" t="str">
        <x:v>Use controlled system-mediated post after approvals, with no discretionary direct production edit.</x:v>
      </x:c>
      <x:c r="H21" s="12" t="str">
        <x:v>Joint Project Team</x:v>
      </x:c>
      <x:c r="I21" s="12" t="str">
        <x:v>Approved edits may still be posted inconsistently or by unauthorized users.</x:v>
      </x:c>
      <x:c r="J21" s="12" t="str">
        <x:v>Partially Defined</x:v>
      </x:c>
      <x:c r="K21" s="12" t="str"/>
    </x:row>
    <x:row r="22">
      <x:c r="A22" s="12" t="str">
        <x:v>B-21</x:v>
      </x:c>
      <x:c r="B22" s="12" t="str">
        <x:v>Who resolves version/reconcile conflicts?</x:v>
      </x:c>
      <x:c r="C22" s="12" t="str">
        <x:v>Governance</x:v>
      </x:c>
      <x:c r="D22" s="12" t="str">
        <x:v>Critical</x:v>
      </x:c>
      <x:c r="E22" s="12" t="str">
        <x:v>Concurrent transaction/version conflicts are expected.</x:v>
      </x:c>
      <x:c r="F22" s="12" t="str">
        <x:v>Name technical/business authority and define retry/review procedure.</x:v>
      </x:c>
      <x:c r="G22" s="12" t="str">
        <x:v>Do not auto-resolve material geometry conflicts; route to cadastral reviewer with before/after/current comparison.</x:v>
      </x:c>
      <x:c r="H22" s="12" t="str">
        <x:v>NLA / SMD</x:v>
      </x:c>
      <x:c r="I22" s="12" t="str">
        <x:v>One transaction may overwrite another transaction's valid change.</x:v>
      </x:c>
      <x:c r="J22" s="12" t="str">
        <x:v>Open</x:v>
      </x:c>
      <x:c r="K22" s="12" t="str"/>
    </x:row>
    <x:row r="23">
      <x:c r="A23" s="12" t="str">
        <x:v>B-22</x:v>
      </x:c>
      <x:c r="B23" s="12" t="str">
        <x:v>What happens if authoritative data changes while a transaction is under examination?</x:v>
      </x:c>
      <x:c r="C23" s="12" t="str">
        <x:v>Business Rule</x:v>
      </x:c>
      <x:c r="D23" s="12" t="str">
        <x:v>Critical</x:v>
      </x:c>
      <x:c r="E23" s="12" t="str">
        <x:v>Versioned workspaces reduce risk but stale-reference handling needs formal rule.</x:v>
      </x:c>
      <x:c r="F23" s="12" t="str">
        <x:v>Define when revalidation/Compare must rerun.</x:v>
      </x:c>
      <x:c r="G23" s="12" t="str">
        <x:v>Material change to affected/adjacent parcels should invalidate prior Compare and require refresh/revalidation.</x:v>
      </x:c>
      <x:c r="H23" s="12" t="str">
        <x:v>NLA / SMD</x:v>
      </x:c>
      <x:c r="I23" s="12" t="str">
        <x:v>Decision may be based on obsolete cadastral context.</x:v>
      </x:c>
      <x:c r="J23" s="12" t="str">
        <x:v>Open</x:v>
      </x:c>
      <x:c r="K23" s="12" t="str"/>
    </x:row>
    <x:row r="24">
      <x:c r="A24" s="12" t="str">
        <x:v>B-23</x:v>
      </x:c>
      <x:c r="B24" s="12" t="str">
        <x:v>Must Compute/Compare be rerun after a material geometry change during review?</x:v>
      </x:c>
      <x:c r="C24" s="12" t="str">
        <x:v>Business Rule</x:v>
      </x:c>
      <x:c r="D24" s="12" t="str">
        <x:v>High</x:v>
      </x:c>
      <x:c r="E24" s="12" t="str">
        <x:v>Not explicitly defined.</x:v>
      </x:c>
      <x:c r="F24" s="12" t="str">
        <x:v>Approve rerun triggers.</x:v>
      </x:c>
      <x:c r="G24" s="12" t="str">
        <x:v>Rerun affected geometry/topology/Compare checks whenever geometry changes after initial validation.</x:v>
      </x:c>
      <x:c r="H24" s="12" t="str">
        <x:v>NLA / SMD</x:v>
      </x:c>
      <x:c r="I24" s="12" t="str">
        <x:v>Final posted geometry may differ from what was actually validated.</x:v>
      </x:c>
      <x:c r="J24" s="12" t="str">
        <x:v>Open</x:v>
      </x:c>
      <x:c r="K24" s="12" t="str"/>
    </x:row>
    <x:row r="25">
      <x:c r="A25" s="12" t="str">
        <x:v>B-24</x:v>
      </x:c>
      <x:c r="B25" s="12" t="str">
        <x:v>What evidence is mandatory before replacement/merge/retirement?</x:v>
      </x:c>
      <x:c r="C25" s="12" t="str">
        <x:v>Governance</x:v>
      </x:c>
      <x:c r="D25" s="12" t="str">
        <x:v>Critical</x:v>
      </x:c>
      <x:c r="E25" s="12" t="str">
        <x:v>Audit evidence is required conceptually but not standardized.</x:v>
      </x:c>
      <x:c r="F25" s="12" t="str">
        <x:v>Define minimum evidence package.</x:v>
      </x:c>
      <x:c r="G25" s="12" t="str">
        <x:v>Require source transaction, approved plan/document, discrepancy reason, before/after geometry, reviewer and approver.</x:v>
      </x:c>
      <x:c r="H25" s="12" t="str">
        <x:v>NLA Joint</x:v>
      </x:c>
      <x:c r="I25" s="12" t="str">
        <x:v>Authoritative changes cannot be defended later.</x:v>
      </x:c>
      <x:c r="J25" s="12" t="str">
        <x:v>Open</x:v>
      </x:c>
      <x:c r="K25" s="12" t="str"/>
    </x:row>
    <x:row r="26">
      <x:c r="A26" s="12" t="str">
        <x:v>B-25</x:v>
      </x:c>
      <x:c r="B26" s="12" t="str">
        <x:v>Is prior geometry permanently retained and queryable?</x:v>
      </x:c>
      <x:c r="C26" s="12" t="str">
        <x:v>Data Policy</x:v>
      </x:c>
      <x:c r="D26" s="12" t="str">
        <x:v>High</x:v>
      </x:c>
      <x:c r="E26" s="12" t="str">
        <x:v>Versioning/lineage is expected but retention behavior should be approved.</x:v>
      </x:c>
      <x:c r="F26" s="12" t="str">
        <x:v>Confirm historical geometry retention and access.</x:v>
      </x:c>
      <x:c r="G26" s="12" t="str">
        <x:v>Preserve immutable lineage/history for every posted parcel lifecycle event.</x:v>
      </x:c>
      <x:c r="H26" s="12" t="str">
        <x:v>NLA / SMD</x:v>
      </x:c>
      <x:c r="I26" s="12" t="str">
        <x:v>Loss of historical cadastral evidence and audit trail.</x:v>
      </x:c>
      <x:c r="J26" s="12" t="str">
        <x:v>Partially Defined</x:v>
      </x:c>
      <x:c r="K26" s="12" t="str"/>
    </x:row>
    <x:row r="27">
      <x:c r="A27" s="12" t="str">
        <x:v>B-26</x:v>
      </x:c>
      <x:c r="B27" s="12" t="str">
        <x:v>How are downstream systems notified after posting?</x:v>
      </x:c>
      <x:c r="C27" s="12" t="str">
        <x:v>Technical</x:v>
      </x:c>
      <x:c r="D27" s="12" t="str">
        <x:v>High</x:v>
      </x:c>
      <x:c r="E27" s="12" t="str">
        <x:v>Innola/LTD/LVD integration is architecturally anticipated.</x:v>
      </x:c>
      <x:c r="F27" s="12" t="str">
        <x:v>Finalize event/status contract and synchronization responsibility.</x:v>
      </x:c>
      <x:c r="G27" s="12" t="str">
        <x:v>Publish a committed-change event with affected PID(s), lineage and transaction ID.</x:v>
      </x:c>
      <x:c r="H27" s="12" t="str">
        <x:v>Joint Project Team</x:v>
      </x:c>
      <x:c r="I27" s="12" t="str">
        <x:v>Registry, valuation and spatial systems may become inconsistent after valid posting.</x:v>
      </x:c>
      <x:c r="J27" s="12" t="str">
        <x:v>Partially Defined</x:v>
      </x:c>
      <x:c r="K27" s="12" t="str"/>
    </x:row>
    <x:row r="28">
      <x:c r="A28" s="12" t="str">
        <x:v>B-27</x:v>
      </x:c>
      <x:c r="B28" s="12" t="str">
        <x:v>Who may reverse or correct a posted cadastral change?</x:v>
      </x:c>
      <x:c r="C28" s="12" t="str">
        <x:v>Governance</x:v>
      </x:c>
      <x:c r="D28" s="12" t="str">
        <x:v>Critical</x:v>
      </x:c>
      <x:c r="E28" s="12" t="str">
        <x:v>A formal correction path is required but not fully defined.</x:v>
      </x:c>
      <x:c r="F28" s="12" t="str">
        <x:v>Define correction transaction, authority and audit rules.</x:v>
      </x:c>
      <x:c r="G28" s="12" t="str">
        <x:v>Never directly undo production history; use a new correction transaction preserving lineage.</x:v>
      </x:c>
      <x:c r="H28" s="12" t="str">
        <x:v>NLA / SMD</x:v>
      </x:c>
      <x:c r="I28" s="12" t="str">
        <x:v>Posted changes could be altered without traceable corrective process.</x:v>
      </x:c>
      <x:c r="J28" s="12" t="str">
        <x:v>Open</x:v>
      </x:c>
      <x:c r="K28" s="12" t="str"/>
    </x:row>
  </x:sheetData>
  <x:conditionalFormatting sqref="D2:D28">
    <x:cfRule type="expression" dxfId="8" priority="1">
      <x:formula>D2="Critical"</x:formula>
    </x:cfRule>
    <x:cfRule type="expression" dxfId="9" priority="2">
      <x:formula>D2="High"</x:formula>
    </x:cfRule>
    <x:cfRule type="expression" dxfId="10" priority="3">
      <x:formula>D2="Medium"</x:formula>
    </x:cfRule>
    <x:cfRule type="expression" dxfId="11" priority="4">
      <x:formula>D2="Low"</x:formula>
    </x:cfRule>
  </x:conditionalFormatting>
  <x:conditionalFormatting sqref="J2:J28">
    <x:cfRule type="expression" dxfId="12" priority="5">
      <x:formula>J2="Open"</x:formula>
    </x:cfRule>
    <x:cfRule type="expression" dxfId="13" priority="6">
      <x:formula>J2="Partially Defined"</x:formula>
    </x:cfRule>
    <x:cfRule type="expression" dxfId="14" priority="7">
      <x:formula>J2="Defined"</x:formula>
    </x:cfRule>
    <x:cfRule type="expression" dxfId="15" priority="8">
      <x:formula>J2="Closed"</x:formula>
    </x:cfRule>
  </x:conditionalFormatting>
  <x:dataValidations count="4">
    <x:dataValidation type="list" sqref="C2:C28">
      <x:formula1>Lists!$D$2:$D$6</x:formula1>
    </x:dataValidation>
    <x:dataValidation type="list" sqref="D2:D28">
      <x:formula1>Lists!$B$2:$B$5</x:formula1>
    </x:dataValidation>
    <x:dataValidation type="list" sqref="H2:H28">
      <x:formula1>Lists!$C$2:$C$8</x:formula1>
    </x:dataValidation>
    <x:dataValidation type="list" sqref="J2:J28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d4090d2ad24c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4" t="str">
        <x:v>Status</x:v>
      </x:c>
      <x:c r="B1" s="4" t="str">
        <x:v>Priority</x:v>
      </x:c>
      <x:c r="C1" s="4" t="str">
        <x:v>Decision Owner</x:v>
      </x:c>
      <x:c r="D1" s="4" t="str">
        <x:v>Decision Type</x:v>
      </x:c>
    </x:row>
    <x:row r="2">
      <x:c r="A2" s="12" t="str">
        <x:v>Open</x:v>
      </x:c>
      <x:c r="B2" s="12" t="str">
        <x:v>Critical</x:v>
      </x:c>
      <x:c r="C2" s="12" t="str">
        <x:v>NLA / SMD</x:v>
      </x:c>
      <x:c r="D2" s="12" t="str">
        <x:v>Technical</x:v>
      </x:c>
    </x:row>
    <x:row r="3">
      <x:c r="A3" s="12" t="str">
        <x:v>Partially Defined</x:v>
      </x:c>
      <x:c r="B3" s="12" t="str">
        <x:v>High</x:v>
      </x:c>
      <x:c r="C3" s="12" t="str">
        <x:v>NLA / LTD</x:v>
      </x:c>
      <x:c r="D3" s="12" t="str">
        <x:v>Business Rule</x:v>
      </x:c>
    </x:row>
    <x:row r="4">
      <x:c r="A4" s="12" t="str">
        <x:v>Defined</x:v>
      </x:c>
      <x:c r="B4" s="12" t="str">
        <x:v>Medium</x:v>
      </x:c>
      <x:c r="C4" s="12" t="str">
        <x:v>NLA / LVD</x:v>
      </x:c>
      <x:c r="D4" s="12" t="str">
        <x:v>Governance</x:v>
      </x:c>
    </x:row>
    <x:row r="5">
      <x:c r="A5" s="12" t="str">
        <x:v>Closed</x:v>
      </x:c>
      <x:c r="B5" s="12" t="str">
        <x:v>Low</x:v>
      </x:c>
      <x:c r="C5" s="12" t="str">
        <x:v>NLA Joint</x:v>
      </x:c>
      <x:c r="D5" s="12" t="str">
        <x:v>Cross-Division</x:v>
      </x:c>
    </x:row>
    <x:row r="6">
      <x:c r="A6" s="12"/>
      <x:c r="B6" s="12"/>
      <x:c r="C6" s="12" t="str">
        <x:v>Sidwell</x:v>
      </x:c>
      <x:c r="D6" s="12" t="str">
        <x:v>Data Policy</x:v>
      </x:c>
    </x:row>
    <x:row r="7">
      <x:c r="A7" s="12"/>
      <x:c r="B7" s="12"/>
      <x:c r="C7" s="12" t="str">
        <x:v>Innola</x:v>
      </x:c>
      <x:c r="D7" s="12"/>
    </x:row>
    <x:row r="8">
      <x:c r="A8" s="12"/>
      <x:c r="B8" s="12"/>
      <x:c r="C8" s="12" t="str">
        <x:v>Joint Project Team</x:v>
      </x:c>
      <x:c r="D8" s="12"/>
    </x:row>
  </x:sheetData>
  <x:pageMargins left="0.7" right="0.7" top="0.75" bottom="0.75" header="0.3" footer="0.3"/>
</x:worksheet>
</file>