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\BMad-Method\dev\pe-jamaica\_bmad-output\training-artifacts\"/>
    </mc:Choice>
  </mc:AlternateContent>
  <xr:revisionPtr revIDLastSave="0" documentId="13_ncr:1_{A628DD88-94DA-4BEA-94EC-5FAED2939F7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xecutive Summary" sheetId="1" r:id="rId1"/>
    <sheet name="A_Transaction Validation" sheetId="2" r:id="rId2"/>
    <sheet name="B_Cadastral Governance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<sst xmlns="http://schemas.openxmlformats.org/spreadsheetml/2006/main" count="547" uniqueCount="356">
  <si>
    <t>Jamaica eTitles – SMD Spatial Decision Register</t>
  </si>
  <si>
    <t>Purpose: separate transaction validation decisions from authoritative cadastral / Parcel Fabric governance decisions.</t>
  </si>
  <si>
    <t>Area</t>
  </si>
  <si>
    <t>Total Decisions</t>
  </si>
  <si>
    <t>Open / Partial</t>
  </si>
  <si>
    <t>Critical Open / Partial</t>
  </si>
  <si>
    <t>A. Transaction Validation</t>
  </si>
  <si>
    <t>B. Cadastral Governance</t>
  </si>
  <si>
    <t>Three decision gates to formalize</t>
  </si>
  <si>
    <t>Gate</t>
  </si>
  <si>
    <t>Question</t>
  </si>
  <si>
    <t>Primary Area</t>
  </si>
  <si>
    <t>Expected Output</t>
  </si>
  <si>
    <t>1. Technical Validity</t>
  </si>
  <si>
    <t>Is the submitted survey internally and mathematically correct?</t>
  </si>
  <si>
    <t>Compute</t>
  </si>
  <si>
    <t>Pass / Warning / Fail</t>
  </si>
  <si>
    <t>2. Cadastral Compatibility</t>
  </si>
  <si>
    <t>Does the validated survey agree with existing cadastral and registry evidence?</t>
  </si>
  <si>
    <t>Compare</t>
  </si>
  <si>
    <t>Compatible / Conflict / Review</t>
  </si>
  <si>
    <t>3. Authoritative Change</t>
  </si>
  <si>
    <t>If there is a conflict, what is correct and what are we authorized to change?</t>
  </si>
  <si>
    <t>Cadastral Change Assessment</t>
  </si>
  <si>
    <t>Approved action before Parcel Fabric / Enterprise post</t>
  </si>
  <si>
    <t>Recommended control flow</t>
  </si>
  <si>
    <t>Compute → Compare → Cadastral Change Assessment → Authorization → Parcel Fabric Update → Independent QA → Reconcile/Post</t>
  </si>
  <si>
    <t>Core principle</t>
  </si>
  <si>
    <t>The software may detect and assist; authoritative cadastral/legal precedence requires an accountable human decision, evidence, approval, and audit trail.</t>
  </si>
  <si>
    <t>ID</t>
  </si>
  <si>
    <t>Decision / Question</t>
  </si>
  <si>
    <t>Decision Type</t>
  </si>
  <si>
    <t>Priority</t>
  </si>
  <si>
    <t>Current Position / Assumption</t>
  </si>
  <si>
    <t>Decision Required</t>
  </si>
  <si>
    <t>Recommended Direction</t>
  </si>
  <si>
    <t>Decision Owner</t>
  </si>
  <si>
    <t>Impact if Undefined</t>
  </si>
  <si>
    <t>Status</t>
  </si>
  <si>
    <t>Notes / Final Decision</t>
  </si>
  <si>
    <t>A-01</t>
  </si>
  <si>
    <t>What exact transaction payload is received from Innola into ArcGIS Pro?</t>
  </si>
  <si>
    <t>Technical</t>
  </si>
  <si>
    <t>High</t>
  </si>
  <si>
    <t>Transaction ID, transaction type, document references and execution context are expected.</t>
  </si>
  <si>
    <t>Confirm the minimum mandatory payload, affected parcel references, rules/configuration profile, and submission type.</t>
  </si>
  <si>
    <t>Define a versioned input contract between Innola and the ArcGIS Pro Add-In.</t>
  </si>
  <si>
    <t>Joint Project Team</t>
  </si>
  <si>
    <t>Inconsistent execution context; tasks may not know what data or rules apply.</t>
  </si>
  <si>
    <t>Partially Defined</t>
  </si>
  <si>
    <t>A-02</t>
  </si>
  <si>
    <t>What constitutes a complete submission before GIS processing starts?</t>
  </si>
  <si>
    <t>Business Rule</t>
  </si>
  <si>
    <t>PDF/plan, CAD where applicable, computer sheet/coordinates and supporting documents are expected by transaction type.</t>
  </si>
  <si>
    <t>Approve the required-document matrix by SMD transaction and submission mode.</t>
  </si>
  <si>
    <t>Enforce completeness before Compute; missing mandatory items return for correction.</t>
  </si>
  <si>
    <t>NLA / SMD</t>
  </si>
  <si>
    <t>Invalid or incomplete submissions enter Compute and generate avoidable examiner work.</t>
  </si>
  <si>
    <t>A-03</t>
  </si>
  <si>
    <t>Which authoritative/reference layers must be loaded for each transaction?</t>
  </si>
  <si>
    <t>Data Policy</t>
  </si>
  <si>
    <t>CadMap, CadIndex, Parcel Fabric, control data and selected LTD/LVD references are anticipated.</t>
  </si>
  <si>
    <t>Confirm the authoritative/reference dataset list per transaction and which are read-only versus editable.</t>
  </si>
  <si>
    <t>Publish a transaction-to-dataset matrix and layer role definition.</t>
  </si>
  <si>
    <t>Different examiners may compare against different sources and reach inconsistent conclusions.</t>
  </si>
  <si>
    <t>Open</t>
  </si>
  <si>
    <t>A-04</t>
  </si>
  <si>
    <t>Which structure checks are mandatory?</t>
  </si>
  <si>
    <t>Required plan elements, expected CAD layers, coordinates, CRS and metadata checks are identified conceptually.</t>
  </si>
  <si>
    <t>Approve the final structure-validation checklist and severity of each rule.</t>
  </si>
  <si>
    <t>Group checks into mandatory, warning and informational categories.</t>
  </si>
  <si>
    <t>No consistent gate before geometry analysis.</t>
  </si>
  <si>
    <t>A-05</t>
  </si>
  <si>
    <t>Which geometry checks are mandatory?</t>
  </si>
  <si>
    <t>Traverse/closure, bearings, distances, line direction, tie lines and control references are in scope.</t>
  </si>
  <si>
    <t>Approve tolerances, thresholds and pass/fail criteria.</t>
  </si>
  <si>
    <t>Parameterize tolerances as business rules rather than hard-code them.</t>
  </si>
  <si>
    <t>Different users may apply different technical tolerances.</t>
  </si>
  <si>
    <t>A-06</t>
  </si>
  <si>
    <t>Which topology/data-integrity checks are mandatory?</t>
  </si>
  <si>
    <t>Connectivity, duplicates, gaps/overlaps and invalid geometry are expected checks.</t>
  </si>
  <si>
    <t>Define which topology conditions block processing versus create warnings.</t>
  </si>
  <si>
    <t>Use a standard topology rule set with severity classification.</t>
  </si>
  <si>
    <t>Technically questionable geometry could advance inconsistently.</t>
  </si>
  <si>
    <t>A-07</t>
  </si>
  <si>
    <t>How should CAD-to-PDF inconsistencies be handled?</t>
  </si>
  <si>
    <t>Medium</t>
  </si>
  <si>
    <t>Digital submissions should be visually/structurally consistent across submitted representations.</t>
  </si>
  <si>
    <t>Define whether mismatch is blocking, warning, or examiner override.</t>
  </si>
  <si>
    <t>Treat material boundary/dimension mismatch as blocking; minor cartographic differences as reviewable warnings.</t>
  </si>
  <si>
    <t>Conflicting source representations may be accepted without a consistent rule.</t>
  </si>
  <si>
    <t>A-08</t>
  </si>
  <si>
    <t>How do we distinguish a submission error from an existing cadastral-data problem?</t>
  </si>
  <si>
    <t>Governance</t>
  </si>
  <si>
    <t>Critical</t>
  </si>
  <si>
    <t>The current design detects conflicts but does not fully classify whether the new submission or legacy data is wrong.</t>
  </si>
  <si>
    <t>Define discrepancy categories and the workflow path for each.</t>
  </si>
  <si>
    <t>Introduce explicit classification: Submission Error / Legacy Data Issue / Cross-System Conflict / Undetermined.</t>
  </si>
  <si>
    <t>NLA Joint</t>
  </si>
  <si>
    <t>Valid surveys may be rejected because legacy data is wrong, or legacy errors may be overwritten without authority.</t>
  </si>
  <si>
    <t>A-09</t>
  </si>
  <si>
    <t>What happens when a mathematically valid survey conflicts with CadMap/CadIndex/Parcel Fabric?</t>
  </si>
  <si>
    <t>Compare identifies the conflict, but the decision path is not fully defined.</t>
  </si>
  <si>
    <t>Define escalation, required evidence and who determines whether the existing cadastre is wrong.</t>
  </si>
  <si>
    <t>Route to Cadastral Change Assessment rather than directly editing Enterprise data.</t>
  </si>
  <si>
    <t>High risk of inconsistent or unauthorized cadastral changes.</t>
  </si>
  <si>
    <t>A-10</t>
  </si>
  <si>
    <t>Can an examiner override a failed/warning validation?</t>
  </si>
  <si>
    <t>Human-in-the-loop review is expected, but override authority is not clearly defined.</t>
  </si>
  <si>
    <t>Define which rules are non-overridable, who may override others, and what evidence is mandatory.</t>
  </si>
  <si>
    <t>Require named role, reason code, comments and supporting evidence for every override.</t>
  </si>
  <si>
    <t>Automated controls can be bypassed without accountability.</t>
  </si>
  <si>
    <t>A-11</t>
  </si>
  <si>
    <t>What are the formal Compute outcomes?</t>
  </si>
  <si>
    <t>PASS / WARNING / FAIL are already used conceptually.</t>
  </si>
  <si>
    <t>Confirm statuses and mapping to workflow actions.</t>
  </si>
  <si>
    <t>Use PASSED, WARNING, FAILED, NEEDS_REVIEW with deterministic next actions.</t>
  </si>
  <si>
    <t>A-12</t>
  </si>
  <si>
    <t>When may Compute proceed to Compare?</t>
  </si>
  <si>
    <t>Clean results should proceed; handling of warnings and legacy conflicts is unresolved.</t>
  </si>
  <si>
    <t>Define gate criteria by severity and exception type.</t>
  </si>
  <si>
    <t>Allow PASS and approved WARNING; block FAIL; route legacy-data conflicts to review.</t>
  </si>
  <si>
    <t>Transactions may advance with unresolved technical issues.</t>
  </si>
  <si>
    <t>A-13</t>
  </si>
  <si>
    <t>What Compare findings block the transaction?</t>
  </si>
  <si>
    <t>Overlap, dual registration, boundary conflicts and cross-system inconsistencies can be discovered.</t>
  </si>
  <si>
    <t>Define blocking versus reviewable findings and required escalation.</t>
  </si>
  <si>
    <t>Create a Compare decision matrix with severity and disposition.</t>
  </si>
  <si>
    <t>Potential legal/cadastral conflicts may be handled inconsistently.</t>
  </si>
  <si>
    <t>A-14</t>
  </si>
  <si>
    <t>What is the hierarchy when CadMap, CadIndex, title/registry and LVD information disagree?</t>
  </si>
  <si>
    <t>Cross-Division</t>
  </si>
  <si>
    <t>No complete authoritative-source hierarchy has been established for all conflict scenarios.</t>
  </si>
  <si>
    <t>Approve the evidence hierarchy and which division owns each class of discrepancy.</t>
  </si>
  <si>
    <t>Document legal, cadastral and fiscal authority separately; do not treat all layers as equivalent.</t>
  </si>
  <si>
    <t>Cross-system discrepancies cannot be resolved consistently.</t>
  </si>
  <si>
    <t>A-15</t>
  </si>
  <si>
    <t>Who confirms technical completion of Compute/Compare?</t>
  </si>
  <si>
    <t>A Plan Examiner performs/reviews technical work, but final authority needs role confirmation.</t>
  </si>
  <si>
    <t>Name the role that accepts technical completion and any cases requiring senior review.</t>
  </si>
  <si>
    <t>Use role-based completion with escalation thresholds.</t>
  </si>
  <si>
    <t>No accountable sign-off point before authoritative change decisions.</t>
  </si>
  <si>
    <t>A-16</t>
  </si>
  <si>
    <t>What outputs must be returned to Innola?</t>
  </si>
  <si>
    <t>Status, validation results, logs and artifacts are expected.</t>
  </si>
  <si>
    <t>Finalize the output contract including affected parcels, discrepancy class, evidence and recommended action.</t>
  </si>
  <si>
    <t>Return structured JSON/status plus links to reports/workspace artifacts.</t>
  </si>
  <si>
    <t>Workflow cannot make deterministic routing decisions.</t>
  </si>
  <si>
    <t>A-17</t>
  </si>
  <si>
    <t>What must be retained for audit and reproducibility?</t>
  </si>
  <si>
    <t>Transaction workspace, logs, user/time, validation outputs and results are conceptually required.</t>
  </si>
  <si>
    <t>Approve retention contents and period.</t>
  </si>
  <si>
    <t>Retain input references, rule version, execution logs, before/after geometry, decisions and approvals.</t>
  </si>
  <si>
    <t>Unable to reconstruct why a spatial decision was made.</t>
  </si>
  <si>
    <t>B-01</t>
  </si>
  <si>
    <t>Who determines that an Enterprise parcel requires change?</t>
  </si>
  <si>
    <t>Compute/Compare may identify a discrepancy, but authority to determine the cadastral treatment is not clearly assigned.</t>
  </si>
  <si>
    <t>Name the role that converts a technical finding into an authorized cadastral-change proposal.</t>
  </si>
  <si>
    <t>Plan Examiner identifies; Senior/Chief cadastral authority determines proposed treatment.</t>
  </si>
  <si>
    <t>No accountable decision-maker for authoritative parcel changes.</t>
  </si>
  <si>
    <t>B-02</t>
  </si>
  <si>
    <t>Can the Plan Examiner directly modify authoritative Enterprise parcel data?</t>
  </si>
  <si>
    <t>The design uses transaction/versioned workspaces, but direct authoritative-edit permissions need explicit policy.</t>
  </si>
  <si>
    <t>Define maker privileges and prohibit or allow direct edits by scenario.</t>
  </si>
  <si>
    <t>Examiner should edit only a transaction/version workspace, not post directly to authoritative data.</t>
  </si>
  <si>
    <t>Unauthorized or premature changes may reach production.</t>
  </si>
  <si>
    <t>B-03</t>
  </si>
  <si>
    <t>Who approves a geometry adjustment?</t>
  </si>
  <si>
    <t>Review/approval is conceptually required but role and thresholds are not final.</t>
  </si>
  <si>
    <t>Name approving role and define what qualifies as a minor adjustment.</t>
  </si>
  <si>
    <t>Senior cadastral reviewer approves; maker cannot self-approve.</t>
  </si>
  <si>
    <t>Small changes may accumulate without consistent oversight.</t>
  </si>
  <si>
    <t>B-04</t>
  </si>
  <si>
    <t>Who approves a geometry replacement?</t>
  </si>
  <si>
    <t>Replacement is higher risk than a normal adjustment and is not clearly governed.</t>
  </si>
  <si>
    <t>Define approval level and supporting evidence.</t>
  </si>
  <si>
    <t>Require senior/manager approval plus explicit reason and before/after comparison.</t>
  </si>
  <si>
    <t>Existing authoritative geometry could be overwritten without sufficient authority.</t>
  </si>
  <si>
    <t>B-05</t>
  </si>
  <si>
    <t>When is a parcel considered corrected versus replaced?</t>
  </si>
  <si>
    <t>Terminology and lifecycle effects are not fully defined.</t>
  </si>
  <si>
    <t>Define correction, adjustment, replacement, retirement, subdivision and amalgamation.</t>
  </si>
  <si>
    <t>Adopt formal cadastral lifecycle definitions tied to PID/lineage rules.</t>
  </si>
  <si>
    <t>Inconsistent PID history and lineage.</t>
  </si>
  <si>
    <t>B-06</t>
  </si>
  <si>
    <t>When can an existing PID retain its identity after geometry change?</t>
  </si>
  <si>
    <t>PID persistence rules are not fully defined.</t>
  </si>
  <si>
    <t>Define allowable geometry-change threshold/type for retaining PID.</t>
  </si>
  <si>
    <t>Retain PID only where legal parcel identity is unchanged; create lineage event for geometry correction.</t>
  </si>
  <si>
    <t>Incorrect parcel identity continuity or unnecessary PID proliferation.</t>
  </si>
  <si>
    <t>B-07</t>
  </si>
  <si>
    <t>When must a new PID be created and the prior parcel retired?</t>
  </si>
  <si>
    <t>Subdivision/amalgamation clearly imply lifecycle changes, but full rule set is pending.</t>
  </si>
  <si>
    <t>Approve PID creation/retirement rules for subdivision, merge, replacement and boundary redefinition.</t>
  </si>
  <si>
    <t>Never reuse retired PID; preserve parent-child lineage.</t>
  </si>
  <si>
    <t>Broken parcel lineage and downstream registry/valuation mismatches.</t>
  </si>
  <si>
    <t>B-08</t>
  </si>
  <si>
    <t>Who approves subdivision and parent-parcel retirement?</t>
  </si>
  <si>
    <t>Expected workflow exists conceptually, but authority should be explicit.</t>
  </si>
  <si>
    <t>Name maker/checker/approver roles.</t>
  </si>
  <si>
    <t>Require approved survey/transaction evidence and independent cadastral approval.</t>
  </si>
  <si>
    <t>Child parcels may be created without controlled retirement of parent.</t>
  </si>
  <si>
    <t>B-09</t>
  </si>
  <si>
    <t>Who approves amalgamation/merge of parcels?</t>
  </si>
  <si>
    <t>Merge mechanics are known technically, but business authority needs definition.</t>
  </si>
  <si>
    <t>Define evidence, ownership/title prerequisites and approving role.</t>
  </si>
  <si>
    <t>Do not merge solely because geometries touch; require authorized transaction and legal/cadastral basis.</t>
  </si>
  <si>
    <t>Incorrect legal parcels may be collapsed into one spatial feature.</t>
  </si>
  <si>
    <t>B-10</t>
  </si>
  <si>
    <t>Who approves a boundary adjustment affecting two or more active parcels?</t>
  </si>
  <si>
    <t>This can affect multiple legal/fiscal relationships and is not sufficiently governed.</t>
  </si>
  <si>
    <t>Define required evidence and whether LTD/LVD consultation is mandatory.</t>
  </si>
  <si>
    <t>Escalate multi-parcel boundary adjustments for senior cadastral review and cross-system impact check.</t>
  </si>
  <si>
    <t>One parcel can be corrected at the expense of another without coordinated approval.</t>
  </si>
  <si>
    <t>B-11</t>
  </si>
  <si>
    <t>What happens when two approved surveys overlap?</t>
  </si>
  <si>
    <t>No deterministic rule can safely choose one automatically.</t>
  </si>
  <si>
    <t>Define investigation and adjudication/escalation route.</t>
  </si>
  <si>
    <t>Stop posting; preserve both evidence sets; escalate to designated cadastral/legal authority.</t>
  </si>
  <si>
    <t>Risk of dual registration or unauthorized preference between legal surveys.</t>
  </si>
  <si>
    <t>B-12</t>
  </si>
  <si>
    <t>What happens when existing Enterprise parcels overlap each other before the new transaction?</t>
  </si>
  <si>
    <t>Legacy overlaps are known to exist.</t>
  </si>
  <si>
    <t>Define whether transaction processing may proceed, and how legacy discrepancy is recorded/resolved.</t>
  </si>
  <si>
    <t>Do not silently fix during unrelated transaction; create linked legacy-correction case unless directly required.</t>
  </si>
  <si>
    <t>New transaction becomes an uncontrolled cleanup vehicle for historical errors.</t>
  </si>
  <si>
    <t>B-13</t>
  </si>
  <si>
    <t>Which dataset is authoritative for legal boundary decisions?</t>
  </si>
  <si>
    <t>CadMap, CadIndex, Parcel Fabric, survey plans, title records and valuation data may conflict.</t>
  </si>
  <si>
    <t>Define legal/cadastral/fiscal source hierarchy and evidence rules.</t>
  </si>
  <si>
    <t>Separate legal authority from spatial operational layer; approved survey/legal record should drive authorized correction, not simply latest GIS geometry.</t>
  </si>
  <si>
    <t>Conflicts cannot be resolved consistently or defensibly.</t>
  </si>
  <si>
    <t>B-14</t>
  </si>
  <si>
    <t>If title/registry information conflicts with GIS geometry, who resolves it?</t>
  </si>
  <si>
    <t>Cross-division coordination is required but detailed responsibility is pending.</t>
  </si>
  <si>
    <t>Define LTD/SMD referral and decision ownership.</t>
  </si>
  <si>
    <t>SMD owns spatial analysis; LTD owns legal registry interpretation; unresolved cases require joint disposition.</t>
  </si>
  <si>
    <t>Spatial update may contradict the legal register.</t>
  </si>
  <si>
    <t>B-15</t>
  </si>
  <si>
    <t>If LVD fiscal parcel geometry conflicts with SMD cadastral geometry, who owns the correction?</t>
  </si>
  <si>
    <t>Legal and fiscal parcel models serve different purposes.</t>
  </si>
  <si>
    <t>Define ownership and synchronization rule.</t>
  </si>
  <si>
    <t>SMD controls cadastral/legal geometry; LVD corrects fiscal representation based on approved cadastral outcome where applicable.</t>
  </si>
  <si>
    <t>Fiscal and cadastral layers diverge further.</t>
  </si>
  <si>
    <t>B-16</t>
  </si>
  <si>
    <t>Must every authoritative parcel change use maker-checker approval?</t>
  </si>
  <si>
    <t>Maker-checker is a stated design principle but exceptions are not fully defined.</t>
  </si>
  <si>
    <t>Approve mandatory checker policy and any low-risk exceptions.</t>
  </si>
  <si>
    <t>Require maker-checker for all geometry changes; only metadata-only low-risk changes may use simplified approval if NLA agrees.</t>
  </si>
  <si>
    <t>Single-user changes undermine control and auditability.</t>
  </si>
  <si>
    <t>B-17</t>
  </si>
  <si>
    <t>Can the reviewer modify the maker's edits directly?</t>
  </si>
  <si>
    <t>Not defined.</t>
  </si>
  <si>
    <t>Decide whether reviewer may edit, or only approve/reject/return.</t>
  </si>
  <si>
    <t>Reviewer should normally return for correction; if reviewer edits, system should record reviewer as a new maker action requiring re-validation.</t>
  </si>
  <si>
    <t>Blurred accountability for who made the final geometry.</t>
  </si>
  <si>
    <t>B-18</t>
  </si>
  <si>
    <t>What happens when reviewer disagrees with the proposed cadastral action?</t>
  </si>
  <si>
    <t>Redo/return is conceptually anticipated.</t>
  </si>
  <si>
    <t>Define statuses, comments, escalation and rework loop.</t>
  </si>
  <si>
    <t>Return to maker with mandatory reason; escalate unresolved disputes to designated senior authority.</t>
  </si>
  <si>
    <t>Disagreements can stall informally outside the system.</t>
  </si>
  <si>
    <t>B-19</t>
  </si>
  <si>
    <t>Which changes require a second/high-risk approval?</t>
  </si>
  <si>
    <t>No risk-tier approval model is defined.</t>
  </si>
  <si>
    <t>Identify high-risk events: replacement, large overlap, title conflict, multi-parcel adjustment, historical correction.</t>
  </si>
  <si>
    <t>Use risk-based approval levels rather than one approval rule for every edit.</t>
  </si>
  <si>
    <t>High-impact changes receive the same scrutiny as routine corrections.</t>
  </si>
  <si>
    <t>B-20</t>
  </si>
  <si>
    <t>Who performs reconcile/post to authoritative Enterprise data?</t>
  </si>
  <si>
    <t>The workflow expects reconcile/post after approval, but final operational responsibility is not explicit.</t>
  </si>
  <si>
    <t>Define whether system service account or authorized role executes posting.</t>
  </si>
  <si>
    <t>Use controlled system-mediated post after approvals, with no discretionary direct production edit.</t>
  </si>
  <si>
    <t>Approved edits may still be posted inconsistently or by unauthorized users.</t>
  </si>
  <si>
    <t>B-21</t>
  </si>
  <si>
    <t>Who resolves version/reconcile conflicts?</t>
  </si>
  <si>
    <t>Concurrent transaction/version conflicts are expected.</t>
  </si>
  <si>
    <t>Name technical/business authority and define retry/review procedure.</t>
  </si>
  <si>
    <t>Do not auto-resolve material geometry conflicts; route to cadastral reviewer with before/after/current comparison.</t>
  </si>
  <si>
    <t>One transaction may overwrite another transaction's valid change.</t>
  </si>
  <si>
    <t>B-22</t>
  </si>
  <si>
    <t>What happens if authoritative data changes while a transaction is under examination?</t>
  </si>
  <si>
    <t>Versioned workspaces reduce risk but stale-reference handling needs formal rule.</t>
  </si>
  <si>
    <t>Define when revalidation/Compare must rerun.</t>
  </si>
  <si>
    <t>Material change to affected/adjacent parcels should invalidate prior Compare and require refresh/revalidation.</t>
  </si>
  <si>
    <t>Decision may be based on obsolete cadastral context.</t>
  </si>
  <si>
    <t>B-23</t>
  </si>
  <si>
    <t>Must Compute/Compare be rerun after a material geometry change during review?</t>
  </si>
  <si>
    <t>Not explicitly defined.</t>
  </si>
  <si>
    <t>Approve rerun triggers.</t>
  </si>
  <si>
    <t>Rerun affected geometry/topology/Compare checks whenever geometry changes after initial validation.</t>
  </si>
  <si>
    <t>Final posted geometry may differ from what was actually validated.</t>
  </si>
  <si>
    <t>B-24</t>
  </si>
  <si>
    <t>What evidence is mandatory before replacement/merge/retirement?</t>
  </si>
  <si>
    <t>Audit evidence is required conceptually but not standardized.</t>
  </si>
  <si>
    <t>Define minimum evidence package.</t>
  </si>
  <si>
    <t>Require source transaction, approved plan/document, discrepancy reason, before/after geometry, reviewer and approver.</t>
  </si>
  <si>
    <t>Authoritative changes cannot be defended later.</t>
  </si>
  <si>
    <t>B-25</t>
  </si>
  <si>
    <t>Is prior geometry permanently retained and queryable?</t>
  </si>
  <si>
    <t>Versioning/lineage is expected but retention behavior should be approved.</t>
  </si>
  <si>
    <t>Confirm historical geometry retention and access.</t>
  </si>
  <si>
    <t>Preserve immutable lineage/history for every posted parcel lifecycle event.</t>
  </si>
  <si>
    <t>Loss of historical cadastral evidence and audit trail.</t>
  </si>
  <si>
    <t>B-26</t>
  </si>
  <si>
    <t>How are downstream systems notified after posting?</t>
  </si>
  <si>
    <t>Innola/LTD/LVD integration is architecturally anticipated.</t>
  </si>
  <si>
    <t>Finalize event/status contract and synchronization responsibility.</t>
  </si>
  <si>
    <t>Publish a committed-change event with affected PID(s), lineage and transaction ID.</t>
  </si>
  <si>
    <t>Registry, valuation and spatial systems may become inconsistent after valid posting.</t>
  </si>
  <si>
    <t>B-27</t>
  </si>
  <si>
    <t>Who may reverse or correct a posted cadastral change?</t>
  </si>
  <si>
    <t>A formal correction path is required but not fully defined.</t>
  </si>
  <si>
    <t>Define correction transaction, authority and audit rules.</t>
  </si>
  <si>
    <t>Never directly undo production history; use a new correction transaction preserving lineage.</t>
  </si>
  <si>
    <t>Posted changes could be altered without traceable corrective process.</t>
  </si>
  <si>
    <t>NLA / LTD</t>
  </si>
  <si>
    <t>Defined</t>
  </si>
  <si>
    <t>NLA / LVD</t>
  </si>
  <si>
    <t>Closed</t>
  </si>
  <si>
    <t>Low</t>
  </si>
  <si>
    <t>Sidwell</t>
  </si>
  <si>
    <t>Innola</t>
  </si>
  <si>
    <t>Currently Legal Cadastre and Fiscal Cadastre</t>
  </si>
  <si>
    <t>Registered in the report attached to the transaction</t>
  </si>
  <si>
    <t>Trnumber, result from PE, neigbords</t>
  </si>
  <si>
    <t>PDF/plan, CAD where applicable, computation sheet/coordinates and supporting documents are expected by transaction type.</t>
  </si>
  <si>
    <t>Compute status may not map consistently to workflow actions, reports, Plan Check values, or Innola routing.</t>
  </si>
  <si>
    <t>Registered in the report attached to the transaction and reflected in Innola Plan Examination writeback where applicable.</t>
  </si>
  <si>
    <t>Status, validation results, Spatial Unit references, Plan Check, Neighbor rows, reports, logs and artifacts are expected.</t>
  </si>
  <si>
    <t>Finalize the Innola output contract including transaction number/id, Spatial Unit IDs/SUIDs, Plan Check results, Neighbor rows, report attachment reference, disposition, evidence references and recommended action.</t>
  </si>
  <si>
    <t>Return structured JSON/status plus Innola Plan Examination writeback for Plan Check and reviewed Neighbor rows, with links to reports/workspace artifacts.</t>
  </si>
  <si>
    <t>Workflow cannot make deterministic routing decisions; Innola Plan Examination may miss required neighbor/plan-check data.</t>
  </si>
  <si>
    <t>Transaction number/id, PE/PXA result, Spatial Unit reference, Plan Check values, reviewed Neighbor rows, Compute report attachment and audit refs.</t>
  </si>
  <si>
    <t>A-18</t>
  </si>
  <si>
    <t>What Plan Examination tabs must the add-in write back to Innola, and what is the API contract for each tab?</t>
  </si>
  <si>
    <t>Technical</t>
  </si>
  <si>
    <t>High</t>
  </si>
  <si>
    <t>Plan Check writeback is implemented; Neighbor tab writeback is needed but the API object contract is not confirmed.</t>
  </si>
  <si>
    <t>Confirm the GET/POST endpoint, typeKeyId, object class, field names, preserve/update behavior and duplicate handling for each Plan Examination tab.</t>
  </si>
  <si>
    <t>Treat Plan Check and Neighbors as one Plan Examination writeback scope; require confirmed API contract before implementation.</t>
  </si>
  <si>
    <t>Joint Project Team</t>
  </si>
  <si>
    <t>Story 7-11 cannot safely add Neighbor rows to Innola without a verified API contract; duplicate or malformed transaction records could be created.</t>
  </si>
  <si>
    <t>Open</t>
  </si>
  <si>
    <t>Use transaction 100000622 to capture the Neighbor tab request/response and update Story 7-11.</t>
  </si>
  <si>
    <t>A-19</t>
  </si>
  <si>
    <t>Are extracted Neighbor rows authoritative transaction data, review evidence, or both?</t>
  </si>
  <si>
    <t>Governance</t>
  </si>
  <si>
    <t>High</t>
  </si>
  <si>
    <t>The add-in captures reviewed adjacent owner/neighbor rows with Name, Role, Volume, Folio, Lot Number, Address, LandVal No. and Exam No.</t>
  </si>
  <si>
    <t>Decide whether reviewed Neighbor rows should be written as transaction records, evidence-only report content, or both, and who owns correction of those values.</t>
  </si>
  <si>
    <t>Use reviewed rows where Role = Neighbor for Innola Neighbor tab writeback after examiner confirmation; preserve evidence/audit refs and avoid guessing missing fields.</t>
  </si>
  <si>
    <t>NLA / SMD</t>
  </si>
  <si>
    <t>Neighbor rows may be copied into the transaction without clear authority, or omitted from Innola despite being reviewed in the add-in.</t>
  </si>
  <si>
    <t>Open</t>
  </si>
  <si>
    <t>Depends on the Story 4-13 capture fields and the Story 7-11 Plan Examination writeback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</si>
</sst>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</dxf>
    <dxf>
      <font>
        <b/>
      </font>
      <fill>
        <patternFill patternType="solid">
          <bgColor rgb="FFB6D7A8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B6D7A8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DecisionTable" displayName="TransactionDecisionTable" ref="A1:K18" totalsRowShown="0" dataDxfId="12">
  <tableColumns count="11">
    <tableColumn id="1" xr3:uid="{00000000-0010-0000-0000-000001000000}" name="ID" dataDxfId="23"/>
    <tableColumn id="2" xr3:uid="{00000000-0010-0000-0000-000002000000}" name="Decision / Question" dataDxfId="22"/>
    <tableColumn id="3" xr3:uid="{00000000-0010-0000-0000-000003000000}" name="Decision Type" dataDxfId="21"/>
    <tableColumn id="4" xr3:uid="{00000000-0010-0000-0000-000004000000}" name="Priority" dataDxfId="20"/>
    <tableColumn id="5" xr3:uid="{00000000-0010-0000-0000-000005000000}" name="Current Position / Assumption" dataDxfId="19"/>
    <tableColumn id="6" xr3:uid="{00000000-0010-0000-0000-000006000000}" name="Decision Required" dataDxfId="18"/>
    <tableColumn id="7" xr3:uid="{00000000-0010-0000-0000-000007000000}" name="Recommended Direction" dataDxfId="17"/>
    <tableColumn id="8" xr3:uid="{00000000-0010-0000-0000-000008000000}" name="Decision Owner" dataDxfId="16"/>
    <tableColumn id="9" xr3:uid="{00000000-0010-0000-0000-000009000000}" name="Impact if Undefined" dataDxfId="15"/>
    <tableColumn id="10" xr3:uid="{00000000-0010-0000-0000-00000A000000}" name="Status" dataDxfId="14"/>
    <tableColumn id="11" xr3:uid="{00000000-0010-0000-0000-00000B000000}" name="Notes / Final Decision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vernanceDecisionTable" displayName="GovernanceDecisionTable" ref="A1:K28" totalsRowShown="0" dataDxfId="0">
  <tableColumns count="11">
    <tableColumn id="1" xr3:uid="{00000000-0010-0000-0100-000001000000}" name="ID" dataDxfId="11"/>
    <tableColumn id="2" xr3:uid="{00000000-0010-0000-0100-000002000000}" name="Decision / Question" dataDxfId="10"/>
    <tableColumn id="3" xr3:uid="{00000000-0010-0000-0100-000003000000}" name="Decision Type" dataDxfId="9"/>
    <tableColumn id="4" xr3:uid="{00000000-0010-0000-0100-000004000000}" name="Priority" dataDxfId="8"/>
    <tableColumn id="5" xr3:uid="{00000000-0010-0000-0100-000005000000}" name="Current Position / Assumption" dataDxfId="7"/>
    <tableColumn id="6" xr3:uid="{00000000-0010-0000-0100-000006000000}" name="Decision Required" dataDxfId="6"/>
    <tableColumn id="7" xr3:uid="{00000000-0010-0000-0100-000007000000}" name="Recommended Direction" dataDxfId="5"/>
    <tableColumn id="8" xr3:uid="{00000000-0010-0000-0100-000008000000}" name="Decision Owner" dataDxfId="4"/>
    <tableColumn id="9" xr3:uid="{00000000-0010-0000-0100-000009000000}" name="Impact if Undefined" dataDxfId="3"/>
    <tableColumn id="10" xr3:uid="{00000000-0010-0000-0100-00000A000000}" name="Status" dataDxfId="2"/>
    <tableColumn id="11" xr3:uid="{00000000-0010-0000-0100-00000B000000}" name="Notes / Final Decis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H2"/>
    </sheetView>
  </sheetViews>
  <sheetFormatPr defaultRowHeight="14.25"/>
  <cols>
    <col min="1" max="1" width="22" customWidth="1"/>
    <col min="2" max="2" width="28" customWidth="1"/>
    <col min="3" max="4" width="24" customWidth="1"/>
    <col min="5" max="8" width="12" customWidth="1"/>
  </cols>
  <sheetData>
    <row r="1" spans="1:8">
      <c r="A1" s="8" t="s">
        <v>0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4"/>
      <c r="B3" s="4"/>
      <c r="C3" s="4"/>
      <c r="D3" s="4"/>
      <c r="E3" s="4"/>
      <c r="F3" s="4"/>
      <c r="G3" s="4"/>
      <c r="H3" s="4"/>
    </row>
    <row r="4" spans="1:8" ht="15">
      <c r="A4" s="9" t="s">
        <v>1</v>
      </c>
      <c r="B4" s="9"/>
      <c r="C4" s="9"/>
      <c r="D4" s="9"/>
      <c r="E4" s="9"/>
      <c r="F4" s="9"/>
      <c r="G4" s="9"/>
      <c r="H4" s="9"/>
    </row>
    <row r="5" spans="1:8">
      <c r="A5" s="4"/>
      <c r="B5" s="4"/>
      <c r="C5" s="4"/>
      <c r="D5" s="4"/>
      <c r="E5" s="4"/>
      <c r="F5" s="4"/>
      <c r="G5" s="4"/>
      <c r="H5" s="4"/>
    </row>
    <row r="6" spans="1:8" ht="15">
      <c r="A6" s="6" t="s">
        <v>2</v>
      </c>
      <c r="B6" s="6" t="s">
        <v>3</v>
      </c>
      <c r="C6" s="6" t="s">
        <v>4</v>
      </c>
      <c r="D6" s="6" t="s">
        <v>5</v>
      </c>
      <c r="E6" s="4"/>
      <c r="F6" s="4"/>
      <c r="G6" s="4"/>
      <c r="H6" s="4"/>
    </row>
    <row r="7" spans="1:8">
      <c r="A7" s="4" t="s">
        <v>6</v>
      </c>
      <c r="B7" s="4">
        <v>19</v>
      </c>
      <c r="C7" s="4">
        <v>14</v>
      </c>
      <c r="D7" s="4">
        <v>5</v>
      </c>
      <c r="E7" s="4"/>
      <c r="F7" s="4"/>
      <c r="G7" s="4"/>
      <c r="H7" s="4"/>
    </row>
    <row r="8" spans="1:8">
      <c r="A8" s="4" t="s">
        <v>7</v>
      </c>
      <c r="B8" s="4">
        <f>COUNTA('B_Cadastral Governance'!A2:A28)</f>
        <v>27</v>
      </c>
      <c r="C8" s="4">
        <f>COUNTIF('B_Cadastral Governance'!J2:J28,"Open")+COUNTIF('B_Cadastral Governance'!J2:J28,"Partially Defined")</f>
        <v>27</v>
      </c>
      <c r="D8" s="4">
        <f>COUNTIFS('B_Cadastral Governance'!D2:D28,"Critical",'B_Cadastral Governance'!J2:J28,"&lt;&gt;Defined",'B_Cadastral Governance'!J2:J28,"&lt;&gt;Closed")</f>
        <v>18</v>
      </c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 ht="1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15">
      <c r="A12" s="5" t="s">
        <v>9</v>
      </c>
      <c r="B12" s="5" t="s">
        <v>10</v>
      </c>
      <c r="C12" s="5" t="s">
        <v>11</v>
      </c>
      <c r="D12" s="5" t="s">
        <v>12</v>
      </c>
      <c r="E12" s="4"/>
      <c r="F12" s="4"/>
      <c r="G12" s="4"/>
      <c r="H12" s="4"/>
    </row>
    <row r="13" spans="1:8" ht="28.5">
      <c r="A13" s="7" t="s">
        <v>13</v>
      </c>
      <c r="B13" s="7" t="s">
        <v>14</v>
      </c>
      <c r="C13" s="7" t="s">
        <v>15</v>
      </c>
      <c r="D13" s="7" t="s">
        <v>16</v>
      </c>
      <c r="E13" s="4"/>
      <c r="F13" s="4"/>
      <c r="G13" s="4"/>
      <c r="H13" s="4"/>
    </row>
    <row r="14" spans="1:8" ht="42.75">
      <c r="A14" s="7" t="s">
        <v>17</v>
      </c>
      <c r="B14" s="7" t="s">
        <v>18</v>
      </c>
      <c r="C14" s="7" t="s">
        <v>19</v>
      </c>
      <c r="D14" s="7" t="s">
        <v>20</v>
      </c>
      <c r="E14" s="4"/>
      <c r="F14" s="4"/>
      <c r="G14" s="4"/>
      <c r="H14" s="4"/>
    </row>
    <row r="15" spans="1:8" ht="42.75">
      <c r="A15" s="7" t="s">
        <v>21</v>
      </c>
      <c r="B15" s="7" t="s">
        <v>22</v>
      </c>
      <c r="C15" s="7" t="s">
        <v>23</v>
      </c>
      <c r="D15" s="7" t="s">
        <v>24</v>
      </c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 ht="15">
      <c r="A17" s="10" t="s">
        <v>25</v>
      </c>
      <c r="B17" s="10"/>
      <c r="C17" s="10"/>
      <c r="D17" s="10"/>
      <c r="E17" s="10"/>
      <c r="F17" s="10"/>
      <c r="G17" s="10"/>
      <c r="H17" s="10"/>
    </row>
    <row r="18" spans="1:8" ht="15">
      <c r="A18" s="11" t="s">
        <v>26</v>
      </c>
      <c r="B18" s="11"/>
      <c r="C18" s="11"/>
      <c r="D18" s="11"/>
      <c r="E18" s="11"/>
      <c r="F18" s="11"/>
      <c r="G18" s="11"/>
      <c r="H18" s="11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 ht="15">
      <c r="A20" s="12" t="s">
        <v>27</v>
      </c>
      <c r="B20" s="12"/>
      <c r="C20" s="12"/>
      <c r="D20" s="12"/>
      <c r="E20" s="12"/>
      <c r="F20" s="12"/>
      <c r="G20" s="12"/>
      <c r="H20" s="12"/>
    </row>
    <row r="21" spans="1:8">
      <c r="A21" s="13" t="s">
        <v>28</v>
      </c>
      <c r="B21" s="13"/>
      <c r="C21" s="13"/>
      <c r="D21" s="13"/>
      <c r="E21" s="13"/>
      <c r="F21" s="13"/>
      <c r="G21" s="13"/>
      <c r="H21" s="13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</sheetData>
  <mergeCells count="7">
    <mergeCell ref="A20:H20"/>
    <mergeCell ref="A21:H21"/>
    <mergeCell ref="A1:H2"/>
    <mergeCell ref="A4:H4"/>
    <mergeCell ref="A11:H11"/>
    <mergeCell ref="A17:H17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C5" workbookViewId="0">
      <selection activeCell="J18" sqref="J18"/>
    </sheetView>
  </sheetViews>
  <sheetFormatPr defaultRowHeight="14.25"/>
  <cols>
    <col min="1" max="1" width="9" customWidth="1"/>
    <col min="2" max="2" width="38" customWidth="1"/>
    <col min="3" max="3" width="16" customWidth="1"/>
    <col min="4" max="4" width="11" customWidth="1"/>
    <col min="5" max="6" width="34" customWidth="1"/>
    <col min="7" max="7" width="38" customWidth="1"/>
    <col min="8" max="8" width="18" customWidth="1"/>
    <col min="9" max="9" width="34" customWidth="1"/>
    <col min="10" max="10" width="17" customWidth="1"/>
    <col min="11" max="11" width="30" customWidth="1"/>
  </cols>
  <sheetData>
    <row r="1" spans="1:11" ht="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</row>
    <row r="2" spans="1:11" ht="51">
      <c r="A2" s="14" t="s">
        <v>40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 s="14" t="s">
        <v>319</v>
      </c>
      <c r="K2" s="14"/>
    </row>
    <row r="3" spans="1:11" ht="51">
      <c r="A3" s="14" t="s">
        <v>50</v>
      </c>
      <c r="B3" s="14" t="s">
        <v>51</v>
      </c>
      <c r="C3" s="14" t="s">
        <v>52</v>
      </c>
      <c r="D3" s="14" t="s">
        <v>43</v>
      </c>
      <c r="E3" s="14" t="s">
        <v>326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49</v>
      </c>
      <c r="K3" s="14"/>
    </row>
    <row r="4" spans="1:11" ht="38.25">
      <c r="A4" s="14" t="s">
        <v>58</v>
      </c>
      <c r="B4" s="14" t="s">
        <v>59</v>
      </c>
      <c r="C4" s="14" t="s">
        <v>60</v>
      </c>
      <c r="D4" s="14" t="s">
        <v>43</v>
      </c>
      <c r="E4" s="14" t="s">
        <v>61</v>
      </c>
      <c r="F4" s="14" t="s">
        <v>62</v>
      </c>
      <c r="G4" s="14" t="s">
        <v>63</v>
      </c>
      <c r="H4" s="14" t="s">
        <v>56</v>
      </c>
      <c r="I4" s="14" t="s">
        <v>64</v>
      </c>
      <c r="J4" s="14" t="s">
        <v>49</v>
      </c>
      <c r="K4" s="14" t="s">
        <v>323</v>
      </c>
    </row>
    <row r="5" spans="1:11" ht="38.25">
      <c r="A5" s="14" t="s">
        <v>66</v>
      </c>
      <c r="B5" s="14" t="s">
        <v>67</v>
      </c>
      <c r="C5" s="14" t="s">
        <v>52</v>
      </c>
      <c r="D5" s="14" t="s">
        <v>43</v>
      </c>
      <c r="E5" s="14" t="s">
        <v>68</v>
      </c>
      <c r="F5" s="14" t="s">
        <v>69</v>
      </c>
      <c r="G5" s="14" t="s">
        <v>70</v>
      </c>
      <c r="H5" s="14" t="s">
        <v>56</v>
      </c>
      <c r="I5" s="14" t="s">
        <v>71</v>
      </c>
      <c r="J5" s="14" t="s">
        <v>319</v>
      </c>
      <c r="K5" s="14"/>
    </row>
    <row r="6" spans="1:11" ht="38.25">
      <c r="A6" s="14" t="s">
        <v>72</v>
      </c>
      <c r="B6" s="14" t="s">
        <v>73</v>
      </c>
      <c r="C6" s="14" t="s">
        <v>52</v>
      </c>
      <c r="D6" s="14" t="s">
        <v>43</v>
      </c>
      <c r="E6" s="14" t="s">
        <v>74</v>
      </c>
      <c r="F6" s="14" t="s">
        <v>75</v>
      </c>
      <c r="G6" s="14" t="s">
        <v>76</v>
      </c>
      <c r="H6" s="14" t="s">
        <v>56</v>
      </c>
      <c r="I6" s="14" t="s">
        <v>77</v>
      </c>
      <c r="J6" s="14" t="s">
        <v>319</v>
      </c>
      <c r="K6" s="14"/>
    </row>
    <row r="7" spans="1:11" ht="25.5">
      <c r="A7" s="14" t="s">
        <v>78</v>
      </c>
      <c r="B7" s="14" t="s">
        <v>79</v>
      </c>
      <c r="C7" s="14" t="s">
        <v>52</v>
      </c>
      <c r="D7" s="14" t="s">
        <v>43</v>
      </c>
      <c r="E7" s="14" t="s">
        <v>80</v>
      </c>
      <c r="F7" s="14" t="s">
        <v>81</v>
      </c>
      <c r="G7" s="14" t="s">
        <v>82</v>
      </c>
      <c r="H7" s="14" t="s">
        <v>56</v>
      </c>
      <c r="I7" s="14" t="s">
        <v>83</v>
      </c>
      <c r="J7" s="14" t="s">
        <v>319</v>
      </c>
      <c r="K7" s="14"/>
    </row>
    <row r="8" spans="1:11" ht="38.25">
      <c r="A8" s="14" t="s">
        <v>84</v>
      </c>
      <c r="B8" s="14" t="s">
        <v>85</v>
      </c>
      <c r="C8" s="14" t="s">
        <v>52</v>
      </c>
      <c r="D8" s="14" t="s">
        <v>86</v>
      </c>
      <c r="E8" s="14" t="s">
        <v>87</v>
      </c>
      <c r="F8" s="14" t="s">
        <v>88</v>
      </c>
      <c r="G8" s="14" t="s">
        <v>89</v>
      </c>
      <c r="H8" s="14" t="s">
        <v>56</v>
      </c>
      <c r="I8" s="14" t="s">
        <v>90</v>
      </c>
      <c r="J8" s="14" t="s">
        <v>65</v>
      </c>
      <c r="K8" s="14"/>
    </row>
    <row r="9" spans="1:11" ht="38.25">
      <c r="A9" s="14" t="s">
        <v>91</v>
      </c>
      <c r="B9" s="14" t="s">
        <v>92</v>
      </c>
      <c r="C9" s="14" t="s">
        <v>93</v>
      </c>
      <c r="D9" s="14" t="s">
        <v>94</v>
      </c>
      <c r="E9" s="14" t="s">
        <v>95</v>
      </c>
      <c r="F9" s="14" t="s">
        <v>96</v>
      </c>
      <c r="G9" s="14" t="s">
        <v>97</v>
      </c>
      <c r="H9" s="14" t="s">
        <v>98</v>
      </c>
      <c r="I9" s="14" t="s">
        <v>99</v>
      </c>
      <c r="J9" s="14" t="s">
        <v>65</v>
      </c>
      <c r="K9" s="14"/>
    </row>
    <row r="10" spans="1:11" ht="38.25">
      <c r="A10" s="14" t="s">
        <v>100</v>
      </c>
      <c r="B10" s="14" t="s">
        <v>101</v>
      </c>
      <c r="C10" s="14" t="s">
        <v>93</v>
      </c>
      <c r="D10" s="14" t="s">
        <v>94</v>
      </c>
      <c r="E10" s="14" t="s">
        <v>102</v>
      </c>
      <c r="F10" s="14" t="s">
        <v>103</v>
      </c>
      <c r="G10" s="14" t="s">
        <v>104</v>
      </c>
      <c r="H10" s="14" t="s">
        <v>56</v>
      </c>
      <c r="I10" s="14" t="s">
        <v>105</v>
      </c>
      <c r="J10" s="14" t="s">
        <v>65</v>
      </c>
      <c r="K10" s="14"/>
    </row>
    <row r="11" spans="1:11" ht="38.25">
      <c r="A11" s="14" t="s">
        <v>106</v>
      </c>
      <c r="B11" s="14" t="s">
        <v>107</v>
      </c>
      <c r="C11" s="14" t="s">
        <v>93</v>
      </c>
      <c r="D11" s="14" t="s">
        <v>94</v>
      </c>
      <c r="E11" s="14" t="s">
        <v>108</v>
      </c>
      <c r="F11" s="14" t="s">
        <v>109</v>
      </c>
      <c r="G11" s="14" t="s">
        <v>110</v>
      </c>
      <c r="H11" s="14" t="s">
        <v>56</v>
      </c>
      <c r="I11" s="14" t="s">
        <v>111</v>
      </c>
      <c r="J11" s="14" t="s">
        <v>65</v>
      </c>
      <c r="K11" s="14"/>
    </row>
    <row r="12" spans="1:11" ht="25.5">
      <c r="A12" s="14" t="s">
        <v>112</v>
      </c>
      <c r="B12" s="14" t="s">
        <v>113</v>
      </c>
      <c r="C12" s="14" t="s">
        <v>42</v>
      </c>
      <c r="D12" s="14" t="s">
        <v>86</v>
      </c>
      <c r="E12" s="14" t="s">
        <v>114</v>
      </c>
      <c r="F12" s="14" t="s">
        <v>115</v>
      </c>
      <c r="G12" s="14" t="s">
        <v>116</v>
      </c>
      <c r="H12" s="14" t="s">
        <v>47</v>
      </c>
      <c r="I12" s="14" t="s">
        <v>327</v>
      </c>
      <c r="J12" s="14" t="s">
        <v>49</v>
      </c>
      <c r="K12" s="14" t="s">
        <v>328</v>
      </c>
    </row>
    <row r="13" spans="1:11" ht="25.5">
      <c r="A13" s="14" t="s">
        <v>117</v>
      </c>
      <c r="B13" s="14" t="s">
        <v>118</v>
      </c>
      <c r="C13" s="14" t="s">
        <v>52</v>
      </c>
      <c r="D13" s="14" t="s">
        <v>43</v>
      </c>
      <c r="E13" s="14" t="s">
        <v>119</v>
      </c>
      <c r="F13" s="14" t="s">
        <v>120</v>
      </c>
      <c r="G13" s="14" t="s">
        <v>121</v>
      </c>
      <c r="H13" s="14" t="s">
        <v>56</v>
      </c>
      <c r="I13" s="14" t="s">
        <v>122</v>
      </c>
      <c r="J13" s="14" t="s">
        <v>319</v>
      </c>
      <c r="K13" s="14"/>
    </row>
    <row r="14" spans="1:11" ht="38.25">
      <c r="A14" s="14" t="s">
        <v>123</v>
      </c>
      <c r="B14" s="14" t="s">
        <v>124</v>
      </c>
      <c r="C14" s="14" t="s">
        <v>52</v>
      </c>
      <c r="D14" s="14" t="s">
        <v>94</v>
      </c>
      <c r="E14" s="14" t="s">
        <v>125</v>
      </c>
      <c r="F14" s="14" t="s">
        <v>126</v>
      </c>
      <c r="G14" s="14" t="s">
        <v>127</v>
      </c>
      <c r="H14" s="14" t="s">
        <v>56</v>
      </c>
      <c r="I14" s="14" t="s">
        <v>128</v>
      </c>
      <c r="J14" s="14" t="s">
        <v>65</v>
      </c>
      <c r="K14" s="14"/>
    </row>
    <row r="15" spans="1:11" ht="38.25">
      <c r="A15" s="14" t="s">
        <v>129</v>
      </c>
      <c r="B15" s="14" t="s">
        <v>130</v>
      </c>
      <c r="C15" s="14" t="s">
        <v>131</v>
      </c>
      <c r="D15" s="14" t="s">
        <v>94</v>
      </c>
      <c r="E15" s="14" t="s">
        <v>132</v>
      </c>
      <c r="F15" s="14" t="s">
        <v>133</v>
      </c>
      <c r="G15" s="14" t="s">
        <v>134</v>
      </c>
      <c r="H15" s="14" t="s">
        <v>98</v>
      </c>
      <c r="I15" s="14" t="s">
        <v>135</v>
      </c>
      <c r="J15" s="14" t="s">
        <v>65</v>
      </c>
      <c r="K15" s="14"/>
    </row>
    <row r="16" spans="1:11" ht="38.25">
      <c r="A16" s="14" t="s">
        <v>136</v>
      </c>
      <c r="B16" s="14" t="s">
        <v>137</v>
      </c>
      <c r="C16" s="14" t="s">
        <v>93</v>
      </c>
      <c r="D16" s="14" t="s">
        <v>43</v>
      </c>
      <c r="E16" s="14" t="s">
        <v>138</v>
      </c>
      <c r="F16" s="14" t="s">
        <v>139</v>
      </c>
      <c r="G16" s="14" t="s">
        <v>140</v>
      </c>
      <c r="H16" s="14" t="s">
        <v>56</v>
      </c>
      <c r="I16" s="14" t="s">
        <v>141</v>
      </c>
      <c r="J16" s="14" t="s">
        <v>65</v>
      </c>
      <c r="K16" s="14"/>
    </row>
    <row r="17" spans="1:11" ht="38.25">
      <c r="A17" s="14" t="s">
        <v>142</v>
      </c>
      <c r="B17" s="14" t="s">
        <v>143</v>
      </c>
      <c r="C17" s="14" t="s">
        <v>42</v>
      </c>
      <c r="D17" s="14" t="s">
        <v>43</v>
      </c>
      <c r="E17" s="14" t="s">
        <v>329</v>
      </c>
      <c r="F17" s="14" t="s">
        <v>330</v>
      </c>
      <c r="G17" s="14" t="s">
        <v>331</v>
      </c>
      <c r="H17" s="14" t="s">
        <v>47</v>
      </c>
      <c r="I17" s="14" t="s">
        <v>332</v>
      </c>
      <c r="J17" s="14" t="s">
        <v>49</v>
      </c>
      <c r="K17" s="14" t="s">
        <v>333</v>
      </c>
    </row>
    <row r="18" spans="1:11" ht="38.25">
      <c r="A18" s="14" t="s">
        <v>334</v>
      </c>
      <c r="B18" s="14" t="s">
        <v>335</v>
      </c>
      <c r="C18" s="14" t="s">
        <v>336</v>
      </c>
      <c r="D18" s="14" t="s">
        <v>337</v>
      </c>
      <c r="E18" s="14" t="s">
        <v>338</v>
      </c>
      <c r="F18" s="14" t="s">
        <v>339</v>
      </c>
      <c r="G18" s="14" t="s">
        <v>340</v>
      </c>
      <c r="H18" s="14" t="s">
        <v>341</v>
      </c>
      <c r="I18" s="14" t="s">
        <v>342</v>
      </c>
      <c r="J18" s="14" t="s">
        <v>343</v>
      </c>
      <c r="K18" s="14" t="s">
        <v>344</v>
      </c>
    </row>
    <row r="19" spans="1:11" ht="38.25">
      <c r="A19" s="14" t="s">
        <v>345</v>
      </c>
      <c r="B19" s="14" t="s">
        <v>346</v>
      </c>
      <c r="C19" s="14" t="s">
        <v>347</v>
      </c>
      <c r="D19" s="14" t="s">
        <v>348</v>
      </c>
      <c r="E19" s="14" t="s">
        <v>349</v>
      </c>
      <c r="F19" s="14" t="s">
        <v>350</v>
      </c>
      <c r="G19" s="14" t="s">
        <v>351</v>
      </c>
      <c r="H19" s="14" t="s">
        <v>352</v>
      </c>
      <c r="I19" s="14" t="s">
        <v>353</v>
      </c>
      <c r="J19" s="14" t="s">
        <v>354</v>
      </c>
      <c r="K19" s="14" t="s">
        <v>355</v>
      </c>
    </row>
    <row r="20" spans="1:11" ht="38.25">
      <c r="A20" s="14" t="s">
        <v>148</v>
      </c>
      <c r="B20" s="14" t="s">
        <v>149</v>
      </c>
      <c r="C20" s="14" t="s">
        <v>93</v>
      </c>
      <c r="D20" s="14" t="s">
        <v>43</v>
      </c>
      <c r="E20" s="14" t="s">
        <v>150</v>
      </c>
      <c r="F20" s="14" t="s">
        <v>151</v>
      </c>
      <c r="G20" s="14" t="s">
        <v>152</v>
      </c>
      <c r="H20" s="14" t="s">
        <v>98</v>
      </c>
      <c r="I20" s="14" t="s">
        <v>153</v>
      </c>
      <c r="J20" s="14" t="s">
        <v>49</v>
      </c>
      <c r="K20" s="14"/>
    </row>
  </sheetData>
  <conditionalFormatting sqref="D2:D18">
    <cfRule type="expression" dxfId="39" priority="1">
      <formula>D2="Critical"</formula>
    </cfRule>
    <cfRule type="expression" dxfId="38" priority="2">
      <formula>D2="High"</formula>
    </cfRule>
    <cfRule type="expression" dxfId="37" priority="3">
      <formula>D2="Medium"</formula>
    </cfRule>
    <cfRule type="expression" dxfId="36" priority="4">
      <formula>D2="Low"</formula>
    </cfRule>
  </conditionalFormatting>
  <conditionalFormatting sqref="J2:J18">
    <cfRule type="expression" dxfId="35" priority="5">
      <formula>J2="Open"</formula>
    </cfRule>
    <cfRule type="expression" dxfId="34" priority="6">
      <formula>J2="Partially Defined"</formula>
    </cfRule>
    <cfRule type="expression" dxfId="33" priority="7">
      <formula>J2="Defined"</formula>
    </cfRule>
    <cfRule type="expression" dxfId="32" priority="8">
      <formula>J2="Closed"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Lists!$D$2:$D$6</xm:f>
          </x14:formula1>
          <xm:sqref>C2:C18</xm:sqref>
        </x14:dataValidation>
        <x14:dataValidation type="list" xr:uid="{00000000-0002-0000-0100-000001000000}">
          <x14:formula1>
            <xm:f>Lists!$B$2:$B$5</xm:f>
          </x14:formula1>
          <xm:sqref>D2:D18</xm:sqref>
        </x14:dataValidation>
        <x14:dataValidation type="list" xr:uid="{00000000-0002-0000-0100-000002000000}">
          <x14:formula1>
            <xm:f>Lists!$C$2:$C$8</xm:f>
          </x14:formula1>
          <xm:sqref>H2:H18</xm:sqref>
        </x14:dataValidation>
        <x14:dataValidation type="list" xr:uid="{00000000-0002-0000-0100-000003000000}">
          <x14:formula1>
            <xm:f>Lists!$A$2:$A$5</xm:f>
          </x14:formula1>
          <xm:sqref>J2:J18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abSelected="1" topLeftCell="E15" workbookViewId="0">
      <selection activeCell="N28" sqref="N28"/>
    </sheetView>
  </sheetViews>
  <sheetFormatPr defaultRowHeight="14.25"/>
  <cols>
    <col min="1" max="1" width="9" customWidth="1"/>
    <col min="2" max="2" width="38" customWidth="1"/>
    <col min="3" max="3" width="16" customWidth="1"/>
    <col min="4" max="4" width="11" customWidth="1"/>
    <col min="5" max="6" width="34" customWidth="1"/>
    <col min="7" max="7" width="38" customWidth="1"/>
    <col min="8" max="8" width="18" customWidth="1"/>
    <col min="9" max="9" width="34" customWidth="1"/>
    <col min="10" max="10" width="17" customWidth="1"/>
    <col min="11" max="11" width="30" customWidth="1"/>
  </cols>
  <sheetData>
    <row r="1" spans="1:11" ht="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</row>
    <row r="2" spans="1:11" ht="38.25">
      <c r="A2" s="14" t="s">
        <v>154</v>
      </c>
      <c r="B2" s="14" t="s">
        <v>155</v>
      </c>
      <c r="C2" s="14" t="s">
        <v>93</v>
      </c>
      <c r="D2" s="14" t="s">
        <v>94</v>
      </c>
      <c r="E2" s="14" t="s">
        <v>156</v>
      </c>
      <c r="F2" s="14" t="s">
        <v>157</v>
      </c>
      <c r="G2" s="14" t="s">
        <v>158</v>
      </c>
      <c r="H2" s="14" t="s">
        <v>56</v>
      </c>
      <c r="I2" s="14" t="s">
        <v>159</v>
      </c>
      <c r="J2" s="14" t="s">
        <v>65</v>
      </c>
      <c r="K2" s="14"/>
    </row>
    <row r="3" spans="1:11" ht="38.25">
      <c r="A3" s="14" t="s">
        <v>160</v>
      </c>
      <c r="B3" s="14" t="s">
        <v>161</v>
      </c>
      <c r="C3" s="14" t="s">
        <v>93</v>
      </c>
      <c r="D3" s="14" t="s">
        <v>94</v>
      </c>
      <c r="E3" s="14" t="s">
        <v>162</v>
      </c>
      <c r="F3" s="14" t="s">
        <v>163</v>
      </c>
      <c r="G3" s="14" t="s">
        <v>164</v>
      </c>
      <c r="H3" s="14" t="s">
        <v>56</v>
      </c>
      <c r="I3" s="14" t="s">
        <v>165</v>
      </c>
      <c r="J3" s="14" t="s">
        <v>65</v>
      </c>
      <c r="K3" s="14"/>
    </row>
    <row r="4" spans="1:11" ht="25.5">
      <c r="A4" s="14" t="s">
        <v>166</v>
      </c>
      <c r="B4" s="14" t="s">
        <v>167</v>
      </c>
      <c r="C4" s="14" t="s">
        <v>93</v>
      </c>
      <c r="D4" s="14" t="s">
        <v>94</v>
      </c>
      <c r="E4" s="14" t="s">
        <v>168</v>
      </c>
      <c r="F4" s="14" t="s">
        <v>169</v>
      </c>
      <c r="G4" s="14" t="s">
        <v>170</v>
      </c>
      <c r="H4" s="14" t="s">
        <v>56</v>
      </c>
      <c r="I4" s="14" t="s">
        <v>171</v>
      </c>
      <c r="J4" s="14" t="s">
        <v>65</v>
      </c>
      <c r="K4" s="14"/>
    </row>
    <row r="5" spans="1:11" ht="25.5">
      <c r="A5" s="14" t="s">
        <v>172</v>
      </c>
      <c r="B5" s="14" t="s">
        <v>173</v>
      </c>
      <c r="C5" s="14" t="s">
        <v>93</v>
      </c>
      <c r="D5" s="14" t="s">
        <v>94</v>
      </c>
      <c r="E5" s="14" t="s">
        <v>174</v>
      </c>
      <c r="F5" s="14" t="s">
        <v>175</v>
      </c>
      <c r="G5" s="14" t="s">
        <v>176</v>
      </c>
      <c r="H5" s="14" t="s">
        <v>56</v>
      </c>
      <c r="I5" s="14" t="s">
        <v>177</v>
      </c>
      <c r="J5" s="14" t="s">
        <v>65</v>
      </c>
      <c r="K5" s="14"/>
    </row>
    <row r="6" spans="1:11" ht="25.5">
      <c r="A6" s="14" t="s">
        <v>178</v>
      </c>
      <c r="B6" s="14" t="s">
        <v>179</v>
      </c>
      <c r="C6" s="14" t="s">
        <v>60</v>
      </c>
      <c r="D6" s="14" t="s">
        <v>94</v>
      </c>
      <c r="E6" s="14" t="s">
        <v>180</v>
      </c>
      <c r="F6" s="14" t="s">
        <v>181</v>
      </c>
      <c r="G6" s="14" t="s">
        <v>182</v>
      </c>
      <c r="H6" s="14" t="s">
        <v>56</v>
      </c>
      <c r="I6" s="14" t="s">
        <v>183</v>
      </c>
      <c r="J6" s="14" t="s">
        <v>65</v>
      </c>
      <c r="K6" s="14"/>
    </row>
    <row r="7" spans="1:11" ht="38.25">
      <c r="A7" s="14" t="s">
        <v>184</v>
      </c>
      <c r="B7" s="14" t="s">
        <v>185</v>
      </c>
      <c r="C7" s="14" t="s">
        <v>60</v>
      </c>
      <c r="D7" s="14" t="s">
        <v>94</v>
      </c>
      <c r="E7" s="14" t="s">
        <v>186</v>
      </c>
      <c r="F7" s="14" t="s">
        <v>187</v>
      </c>
      <c r="G7" s="14" t="s">
        <v>188</v>
      </c>
      <c r="H7" s="14" t="s">
        <v>56</v>
      </c>
      <c r="I7" s="14" t="s">
        <v>189</v>
      </c>
      <c r="J7" s="14" t="s">
        <v>65</v>
      </c>
      <c r="K7" s="14"/>
    </row>
    <row r="8" spans="1:11" ht="38.25">
      <c r="A8" s="14" t="s">
        <v>190</v>
      </c>
      <c r="B8" s="14" t="s">
        <v>191</v>
      </c>
      <c r="C8" s="14" t="s">
        <v>60</v>
      </c>
      <c r="D8" s="14" t="s">
        <v>94</v>
      </c>
      <c r="E8" s="14" t="s">
        <v>192</v>
      </c>
      <c r="F8" s="14" t="s">
        <v>193</v>
      </c>
      <c r="G8" s="14" t="s">
        <v>194</v>
      </c>
      <c r="H8" s="14" t="s">
        <v>56</v>
      </c>
      <c r="I8" s="14" t="s">
        <v>195</v>
      </c>
      <c r="J8" s="14" t="s">
        <v>65</v>
      </c>
      <c r="K8" s="14"/>
    </row>
    <row r="9" spans="1:11" ht="25.5">
      <c r="A9" s="14" t="s">
        <v>196</v>
      </c>
      <c r="B9" s="14" t="s">
        <v>197</v>
      </c>
      <c r="C9" s="14" t="s">
        <v>93</v>
      </c>
      <c r="D9" s="14" t="s">
        <v>43</v>
      </c>
      <c r="E9" s="14" t="s">
        <v>198</v>
      </c>
      <c r="F9" s="14" t="s">
        <v>199</v>
      </c>
      <c r="G9" s="14" t="s">
        <v>200</v>
      </c>
      <c r="H9" s="14" t="s">
        <v>56</v>
      </c>
      <c r="I9" s="14" t="s">
        <v>201</v>
      </c>
      <c r="J9" s="14" t="s">
        <v>65</v>
      </c>
      <c r="K9" s="14"/>
    </row>
    <row r="10" spans="1:11" ht="38.25">
      <c r="A10" s="14" t="s">
        <v>202</v>
      </c>
      <c r="B10" s="14" t="s">
        <v>203</v>
      </c>
      <c r="C10" s="14" t="s">
        <v>93</v>
      </c>
      <c r="D10" s="14" t="s">
        <v>43</v>
      </c>
      <c r="E10" s="14" t="s">
        <v>204</v>
      </c>
      <c r="F10" s="14" t="s">
        <v>205</v>
      </c>
      <c r="G10" s="14" t="s">
        <v>206</v>
      </c>
      <c r="H10" s="14" t="s">
        <v>98</v>
      </c>
      <c r="I10" s="14" t="s">
        <v>207</v>
      </c>
      <c r="J10" s="14" t="s">
        <v>65</v>
      </c>
      <c r="K10" s="14"/>
    </row>
    <row r="11" spans="1:11" ht="38.25">
      <c r="A11" s="14" t="s">
        <v>208</v>
      </c>
      <c r="B11" s="14" t="s">
        <v>209</v>
      </c>
      <c r="C11" s="14" t="s">
        <v>131</v>
      </c>
      <c r="D11" s="14" t="s">
        <v>94</v>
      </c>
      <c r="E11" s="14" t="s">
        <v>210</v>
      </c>
      <c r="F11" s="14" t="s">
        <v>211</v>
      </c>
      <c r="G11" s="14" t="s">
        <v>212</v>
      </c>
      <c r="H11" s="14" t="s">
        <v>98</v>
      </c>
      <c r="I11" s="14" t="s">
        <v>213</v>
      </c>
      <c r="J11" s="14" t="s">
        <v>65</v>
      </c>
      <c r="K11" s="14"/>
    </row>
    <row r="12" spans="1:11" ht="25.5">
      <c r="A12" s="14" t="s">
        <v>214</v>
      </c>
      <c r="B12" s="14" t="s">
        <v>215</v>
      </c>
      <c r="C12" s="14" t="s">
        <v>93</v>
      </c>
      <c r="D12" s="14" t="s">
        <v>94</v>
      </c>
      <c r="E12" s="14" t="s">
        <v>216</v>
      </c>
      <c r="F12" s="14" t="s">
        <v>217</v>
      </c>
      <c r="G12" s="14" t="s">
        <v>218</v>
      </c>
      <c r="H12" s="14" t="s">
        <v>98</v>
      </c>
      <c r="I12" s="14" t="s">
        <v>219</v>
      </c>
      <c r="J12" s="14" t="s">
        <v>65</v>
      </c>
      <c r="K12" s="14"/>
    </row>
    <row r="13" spans="1:11" ht="38.25">
      <c r="A13" s="14" t="s">
        <v>220</v>
      </c>
      <c r="B13" s="14" t="s">
        <v>221</v>
      </c>
      <c r="C13" s="14" t="s">
        <v>60</v>
      </c>
      <c r="D13" s="14" t="s">
        <v>94</v>
      </c>
      <c r="E13" s="14" t="s">
        <v>222</v>
      </c>
      <c r="F13" s="14" t="s">
        <v>223</v>
      </c>
      <c r="G13" s="14" t="s">
        <v>224</v>
      </c>
      <c r="H13" s="14" t="s">
        <v>56</v>
      </c>
      <c r="I13" s="14" t="s">
        <v>225</v>
      </c>
      <c r="J13" s="14" t="s">
        <v>65</v>
      </c>
      <c r="K13" s="14"/>
    </row>
    <row r="14" spans="1:11" ht="51">
      <c r="A14" s="14" t="s">
        <v>226</v>
      </c>
      <c r="B14" s="14" t="s">
        <v>227</v>
      </c>
      <c r="C14" s="14" t="s">
        <v>131</v>
      </c>
      <c r="D14" s="14" t="s">
        <v>94</v>
      </c>
      <c r="E14" s="14" t="s">
        <v>228</v>
      </c>
      <c r="F14" s="14" t="s">
        <v>229</v>
      </c>
      <c r="G14" s="14" t="s">
        <v>230</v>
      </c>
      <c r="H14" s="14" t="s">
        <v>98</v>
      </c>
      <c r="I14" s="14" t="s">
        <v>231</v>
      </c>
      <c r="J14" s="14" t="s">
        <v>65</v>
      </c>
      <c r="K14" s="14"/>
    </row>
    <row r="15" spans="1:11" ht="38.25">
      <c r="A15" s="14" t="s">
        <v>232</v>
      </c>
      <c r="B15" s="14" t="s">
        <v>233</v>
      </c>
      <c r="C15" s="14" t="s">
        <v>131</v>
      </c>
      <c r="D15" s="14" t="s">
        <v>94</v>
      </c>
      <c r="E15" s="14" t="s">
        <v>234</v>
      </c>
      <c r="F15" s="14" t="s">
        <v>235</v>
      </c>
      <c r="G15" s="14" t="s">
        <v>236</v>
      </c>
      <c r="H15" s="14" t="s">
        <v>98</v>
      </c>
      <c r="I15" s="14" t="s">
        <v>237</v>
      </c>
      <c r="J15" s="14" t="s">
        <v>65</v>
      </c>
      <c r="K15" s="14"/>
    </row>
    <row r="16" spans="1:11" ht="38.25">
      <c r="A16" s="14" t="s">
        <v>238</v>
      </c>
      <c r="B16" s="14" t="s">
        <v>239</v>
      </c>
      <c r="C16" s="14" t="s">
        <v>131</v>
      </c>
      <c r="D16" s="14" t="s">
        <v>43</v>
      </c>
      <c r="E16" s="14" t="s">
        <v>240</v>
      </c>
      <c r="F16" s="14" t="s">
        <v>241</v>
      </c>
      <c r="G16" s="14" t="s">
        <v>242</v>
      </c>
      <c r="H16" s="14" t="s">
        <v>98</v>
      </c>
      <c r="I16" s="14" t="s">
        <v>243</v>
      </c>
      <c r="J16" s="14" t="s">
        <v>65</v>
      </c>
      <c r="K16" s="14"/>
    </row>
    <row r="17" spans="1:11" ht="38.25">
      <c r="A17" s="14" t="s">
        <v>244</v>
      </c>
      <c r="B17" s="14" t="s">
        <v>245</v>
      </c>
      <c r="C17" s="14" t="s">
        <v>93</v>
      </c>
      <c r="D17" s="14" t="s">
        <v>94</v>
      </c>
      <c r="E17" s="14" t="s">
        <v>246</v>
      </c>
      <c r="F17" s="14" t="s">
        <v>247</v>
      </c>
      <c r="G17" s="14" t="s">
        <v>248</v>
      </c>
      <c r="H17" s="14" t="s">
        <v>56</v>
      </c>
      <c r="I17" s="14" t="s">
        <v>249</v>
      </c>
      <c r="J17" s="14" t="s">
        <v>49</v>
      </c>
      <c r="K17" s="14"/>
    </row>
    <row r="18" spans="1:11" ht="38.25">
      <c r="A18" s="14" t="s">
        <v>250</v>
      </c>
      <c r="B18" s="14" t="s">
        <v>251</v>
      </c>
      <c r="C18" s="14" t="s">
        <v>93</v>
      </c>
      <c r="D18" s="14" t="s">
        <v>43</v>
      </c>
      <c r="E18" s="14" t="s">
        <v>252</v>
      </c>
      <c r="F18" s="14" t="s">
        <v>253</v>
      </c>
      <c r="G18" s="14" t="s">
        <v>254</v>
      </c>
      <c r="H18" s="14" t="s">
        <v>56</v>
      </c>
      <c r="I18" s="14" t="s">
        <v>255</v>
      </c>
      <c r="J18" s="14" t="s">
        <v>65</v>
      </c>
      <c r="K18" s="14"/>
    </row>
    <row r="19" spans="1:11" ht="38.25">
      <c r="A19" s="14" t="s">
        <v>256</v>
      </c>
      <c r="B19" s="14" t="s">
        <v>257</v>
      </c>
      <c r="C19" s="14" t="s">
        <v>93</v>
      </c>
      <c r="D19" s="14" t="s">
        <v>43</v>
      </c>
      <c r="E19" s="14" t="s">
        <v>258</v>
      </c>
      <c r="F19" s="14" t="s">
        <v>259</v>
      </c>
      <c r="G19" s="14" t="s">
        <v>260</v>
      </c>
      <c r="H19" s="14" t="s">
        <v>56</v>
      </c>
      <c r="I19" s="14" t="s">
        <v>261</v>
      </c>
      <c r="J19" s="14" t="s">
        <v>65</v>
      </c>
      <c r="K19" s="14"/>
    </row>
    <row r="20" spans="1:11" ht="38.25">
      <c r="A20" s="14" t="s">
        <v>262</v>
      </c>
      <c r="B20" s="14" t="s">
        <v>263</v>
      </c>
      <c r="C20" s="14" t="s">
        <v>93</v>
      </c>
      <c r="D20" s="14" t="s">
        <v>43</v>
      </c>
      <c r="E20" s="14" t="s">
        <v>264</v>
      </c>
      <c r="F20" s="14" t="s">
        <v>265</v>
      </c>
      <c r="G20" s="14" t="s">
        <v>266</v>
      </c>
      <c r="H20" s="14" t="s">
        <v>56</v>
      </c>
      <c r="I20" s="14" t="s">
        <v>267</v>
      </c>
      <c r="J20" s="14" t="s">
        <v>65</v>
      </c>
      <c r="K20" s="14"/>
    </row>
    <row r="21" spans="1:11" ht="38.25">
      <c r="A21" s="14" t="s">
        <v>268</v>
      </c>
      <c r="B21" s="14" t="s">
        <v>269</v>
      </c>
      <c r="C21" s="14" t="s">
        <v>42</v>
      </c>
      <c r="D21" s="14" t="s">
        <v>94</v>
      </c>
      <c r="E21" s="14" t="s">
        <v>270</v>
      </c>
      <c r="F21" s="14" t="s">
        <v>271</v>
      </c>
      <c r="G21" s="14" t="s">
        <v>272</v>
      </c>
      <c r="H21" s="14" t="s">
        <v>47</v>
      </c>
      <c r="I21" s="14" t="s">
        <v>273</v>
      </c>
      <c r="J21" s="14" t="s">
        <v>49</v>
      </c>
      <c r="K21" s="14"/>
    </row>
    <row r="22" spans="1:11" ht="38.25">
      <c r="A22" s="14" t="s">
        <v>274</v>
      </c>
      <c r="B22" s="14" t="s">
        <v>275</v>
      </c>
      <c r="C22" s="14" t="s">
        <v>93</v>
      </c>
      <c r="D22" s="14" t="s">
        <v>94</v>
      </c>
      <c r="E22" s="14" t="s">
        <v>276</v>
      </c>
      <c r="F22" s="14" t="s">
        <v>277</v>
      </c>
      <c r="G22" s="14" t="s">
        <v>278</v>
      </c>
      <c r="H22" s="14" t="s">
        <v>56</v>
      </c>
      <c r="I22" s="14" t="s">
        <v>279</v>
      </c>
      <c r="J22" s="14" t="s">
        <v>65</v>
      </c>
      <c r="K22" s="14"/>
    </row>
    <row r="23" spans="1:11" ht="38.25">
      <c r="A23" s="14" t="s">
        <v>280</v>
      </c>
      <c r="B23" s="14" t="s">
        <v>281</v>
      </c>
      <c r="C23" s="14" t="s">
        <v>52</v>
      </c>
      <c r="D23" s="14" t="s">
        <v>94</v>
      </c>
      <c r="E23" s="14" t="s">
        <v>282</v>
      </c>
      <c r="F23" s="14" t="s">
        <v>283</v>
      </c>
      <c r="G23" s="14" t="s">
        <v>284</v>
      </c>
      <c r="H23" s="14" t="s">
        <v>56</v>
      </c>
      <c r="I23" s="14" t="s">
        <v>285</v>
      </c>
      <c r="J23" s="14" t="s">
        <v>65</v>
      </c>
      <c r="K23" s="14"/>
    </row>
    <row r="24" spans="1:11" ht="38.25">
      <c r="A24" s="14" t="s">
        <v>286</v>
      </c>
      <c r="B24" s="14" t="s">
        <v>287</v>
      </c>
      <c r="C24" s="14" t="s">
        <v>52</v>
      </c>
      <c r="D24" s="14" t="s">
        <v>43</v>
      </c>
      <c r="E24" s="14" t="s">
        <v>288</v>
      </c>
      <c r="F24" s="14" t="s">
        <v>289</v>
      </c>
      <c r="G24" s="14" t="s">
        <v>290</v>
      </c>
      <c r="H24" s="14" t="s">
        <v>56</v>
      </c>
      <c r="I24" s="14" t="s">
        <v>291</v>
      </c>
      <c r="J24" s="14" t="s">
        <v>65</v>
      </c>
      <c r="K24" s="14"/>
    </row>
    <row r="25" spans="1:11" ht="38.25">
      <c r="A25" s="14" t="s">
        <v>292</v>
      </c>
      <c r="B25" s="14" t="s">
        <v>293</v>
      </c>
      <c r="C25" s="14" t="s">
        <v>93</v>
      </c>
      <c r="D25" s="14" t="s">
        <v>94</v>
      </c>
      <c r="E25" s="14" t="s">
        <v>294</v>
      </c>
      <c r="F25" s="14" t="s">
        <v>295</v>
      </c>
      <c r="G25" s="14" t="s">
        <v>296</v>
      </c>
      <c r="H25" s="14" t="s">
        <v>98</v>
      </c>
      <c r="I25" s="14" t="s">
        <v>297</v>
      </c>
      <c r="J25" s="14" t="s">
        <v>65</v>
      </c>
      <c r="K25" s="14"/>
    </row>
    <row r="26" spans="1:11" ht="25.5">
      <c r="A26" s="14" t="s">
        <v>298</v>
      </c>
      <c r="B26" s="14" t="s">
        <v>299</v>
      </c>
      <c r="C26" s="14" t="s">
        <v>60</v>
      </c>
      <c r="D26" s="14" t="s">
        <v>43</v>
      </c>
      <c r="E26" s="14" t="s">
        <v>300</v>
      </c>
      <c r="F26" s="14" t="s">
        <v>301</v>
      </c>
      <c r="G26" s="14" t="s">
        <v>302</v>
      </c>
      <c r="H26" s="14" t="s">
        <v>56</v>
      </c>
      <c r="I26" s="14" t="s">
        <v>303</v>
      </c>
      <c r="J26" s="14" t="s">
        <v>49</v>
      </c>
      <c r="K26" s="14"/>
    </row>
    <row r="27" spans="1:11" ht="25.5">
      <c r="A27" s="14" t="s">
        <v>304</v>
      </c>
      <c r="B27" s="14" t="s">
        <v>305</v>
      </c>
      <c r="C27" s="14" t="s">
        <v>42</v>
      </c>
      <c r="D27" s="14" t="s">
        <v>43</v>
      </c>
      <c r="E27" s="14" t="s">
        <v>306</v>
      </c>
      <c r="F27" s="14" t="s">
        <v>307</v>
      </c>
      <c r="G27" s="14" t="s">
        <v>308</v>
      </c>
      <c r="H27" s="14" t="s">
        <v>47</v>
      </c>
      <c r="I27" s="14" t="s">
        <v>309</v>
      </c>
      <c r="J27" s="14" t="s">
        <v>49</v>
      </c>
      <c r="K27" s="14"/>
    </row>
    <row r="28" spans="1:11" ht="25.5">
      <c r="A28" s="14" t="s">
        <v>310</v>
      </c>
      <c r="B28" s="14" t="s">
        <v>311</v>
      </c>
      <c r="C28" s="14" t="s">
        <v>93</v>
      </c>
      <c r="D28" s="14" t="s">
        <v>94</v>
      </c>
      <c r="E28" s="14" t="s">
        <v>312</v>
      </c>
      <c r="F28" s="14" t="s">
        <v>313</v>
      </c>
      <c r="G28" s="14" t="s">
        <v>314</v>
      </c>
      <c r="H28" s="14" t="s">
        <v>56</v>
      </c>
      <c r="I28" s="14" t="s">
        <v>315</v>
      </c>
      <c r="J28" s="14" t="s">
        <v>65</v>
      </c>
      <c r="K28" s="14"/>
    </row>
  </sheetData>
  <conditionalFormatting sqref="D2:D28">
    <cfRule type="expression" dxfId="31" priority="1">
      <formula>D2="Critical"</formula>
    </cfRule>
    <cfRule type="expression" dxfId="30" priority="2">
      <formula>D2="High"</formula>
    </cfRule>
    <cfRule type="expression" dxfId="29" priority="3">
      <formula>D2="Medium"</formula>
    </cfRule>
    <cfRule type="expression" dxfId="28" priority="4">
      <formula>D2="Low"</formula>
    </cfRule>
  </conditionalFormatting>
  <conditionalFormatting sqref="J2:J28">
    <cfRule type="expression" dxfId="27" priority="5">
      <formula>J2="Open"</formula>
    </cfRule>
    <cfRule type="expression" dxfId="26" priority="6">
      <formula>J2="Partially Defined"</formula>
    </cfRule>
    <cfRule type="expression" dxfId="25" priority="7">
      <formula>J2="Defined"</formula>
    </cfRule>
    <cfRule type="expression" dxfId="24" priority="8">
      <formula>J2="Closed"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Lists!$D$2:$D$6</xm:f>
          </x14:formula1>
          <xm:sqref>C2:C28</xm:sqref>
        </x14:dataValidation>
        <x14:dataValidation type="list" xr:uid="{00000000-0002-0000-0200-000001000000}">
          <x14:formula1>
            <xm:f>Lists!$B$2:$B$5</xm:f>
          </x14:formula1>
          <xm:sqref>D2:D28</xm:sqref>
        </x14:dataValidation>
        <x14:dataValidation type="list" xr:uid="{00000000-0002-0000-0200-000002000000}">
          <x14:formula1>
            <xm:f>Lists!$C$2:$C$8</xm:f>
          </x14:formula1>
          <xm:sqref>H2:H28</xm:sqref>
        </x14:dataValidation>
        <x14:dataValidation type="list" xr:uid="{00000000-0002-0000-0200-000003000000}">
          <x14:formula1>
            <xm:f>Lists!$A$2:$A$5</xm:f>
          </x14:formula1>
          <xm:sqref>J2:J28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25"/>
  <cols>
    <col min="1" max="4" width="22" customWidth="1"/>
  </cols>
  <sheetData>
    <row r="1" spans="1:4" ht="15">
      <c r="A1" s="1" t="s">
        <v>38</v>
      </c>
      <c r="B1" s="1" t="s">
        <v>32</v>
      </c>
      <c r="C1" s="1" t="s">
        <v>36</v>
      </c>
      <c r="D1" s="1" t="s">
        <v>31</v>
      </c>
    </row>
    <row r="2" spans="1:4">
      <c r="A2" s="2" t="s">
        <v>65</v>
      </c>
      <c r="B2" s="2" t="s">
        <v>94</v>
      </c>
      <c r="C2" s="2" t="s">
        <v>56</v>
      </c>
      <c r="D2" s="2" t="s">
        <v>42</v>
      </c>
    </row>
    <row r="3" spans="1:4">
      <c r="A3" s="2" t="s">
        <v>49</v>
      </c>
      <c r="B3" s="2" t="s">
        <v>43</v>
      </c>
      <c r="C3" s="2" t="s">
        <v>316</v>
      </c>
      <c r="D3" s="2" t="s">
        <v>52</v>
      </c>
    </row>
    <row r="4" spans="1:4">
      <c r="A4" s="2" t="s">
        <v>317</v>
      </c>
      <c r="B4" s="2" t="s">
        <v>86</v>
      </c>
      <c r="C4" s="2" t="s">
        <v>318</v>
      </c>
      <c r="D4" s="2" t="s">
        <v>93</v>
      </c>
    </row>
    <row r="5" spans="1:4">
      <c r="A5" s="2" t="s">
        <v>319</v>
      </c>
      <c r="B5" s="2" t="s">
        <v>320</v>
      </c>
      <c r="C5" s="2" t="s">
        <v>98</v>
      </c>
      <c r="D5" s="2" t="s">
        <v>131</v>
      </c>
    </row>
    <row r="6" spans="1:4">
      <c r="A6" s="2"/>
      <c r="B6" s="2"/>
      <c r="C6" s="2" t="s">
        <v>321</v>
      </c>
      <c r="D6" s="2" t="s">
        <v>60</v>
      </c>
    </row>
    <row r="7" spans="1:4">
      <c r="A7" s="2"/>
      <c r="B7" s="2"/>
      <c r="C7" s="2" t="s">
        <v>322</v>
      </c>
      <c r="D7" s="2"/>
    </row>
    <row r="8" spans="1:4">
      <c r="A8" s="2"/>
      <c r="B8" s="2"/>
      <c r="C8" s="2" t="s">
        <v>47</v>
      </c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A_Transaction Validation</vt:lpstr>
      <vt:lpstr>B_Cadastral Governance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Solíz</cp:lastModifiedBy>
  <dcterms:created xsi:type="dcterms:W3CDTF">2026-09-03T20:25:00Z</dcterms:created>
  <dcterms:modified xsi:type="dcterms:W3CDTF">2026-09-03T20:35:04Z</dcterms:modified>
</cp:coreProperties>
</file>